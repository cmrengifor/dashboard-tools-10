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\08-task-completion-dashboard\"/>
    </mc:Choice>
  </mc:AlternateContent>
  <xr:revisionPtr revIDLastSave="0" documentId="13_ncr:1_{AA0B210C-A969-44E0-8202-3BAEBF43F172}" xr6:coauthVersionLast="47" xr6:coauthVersionMax="47" xr10:uidLastSave="{00000000-0000-0000-0000-000000000000}"/>
  <bookViews>
    <workbookView xWindow="-120" yWindow="-120" windowWidth="29040" windowHeight="15720" xr2:uid="{60715413-2C1C-4E50-A9DE-02EC8CAE3905}"/>
  </bookViews>
  <sheets>
    <sheet name="Data" sheetId="3" r:id="rId1"/>
    <sheet name="PivotData" sheetId="2" r:id="rId2"/>
    <sheet name="Dashboard" sheetId="1" r:id="rId3"/>
  </sheets>
  <definedNames>
    <definedName name="SegmentaciónDeDatos_department">#N/A</definedName>
    <definedName name="SegmentaciónDeDatos_priority">#N/A</definedName>
    <definedName name="SegmentaciónDeDatos_status">#N/A</definedName>
  </definedNames>
  <calcPr calcId="191029"/>
  <pivotCaches>
    <pivotCache cacheId="12" r:id="rId4"/>
    <pivotCache cacheId="13" r:id="rId5"/>
    <pivotCache cacheId="1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D4" i="1"/>
  <c r="F4" i="1"/>
  <c r="H4" i="1"/>
</calcChain>
</file>

<file path=xl/sharedStrings.xml><?xml version="1.0" encoding="utf-8"?>
<sst xmlns="http://schemas.openxmlformats.org/spreadsheetml/2006/main" count="3339" uniqueCount="618">
  <si>
    <t>task_id</t>
  </si>
  <si>
    <t>task_name</t>
  </si>
  <si>
    <t>assignee</t>
  </si>
  <si>
    <t>department</t>
  </si>
  <si>
    <t>assigned_date</t>
  </si>
  <si>
    <t>due_date</t>
  </si>
  <si>
    <t>completion_date</t>
  </si>
  <si>
    <t>status</t>
  </si>
  <si>
    <t>priority</t>
  </si>
  <si>
    <t>is_overdue</t>
  </si>
  <si>
    <t>days_overdue</t>
  </si>
  <si>
    <t>sprint</t>
  </si>
  <si>
    <t>TASK0001</t>
  </si>
  <si>
    <t>Budget Review</t>
  </si>
  <si>
    <t>Bob Martinez</t>
  </si>
  <si>
    <t>HR</t>
  </si>
  <si>
    <t>Overdue</t>
  </si>
  <si>
    <t>Medium</t>
  </si>
  <si>
    <t>TASK0002</t>
  </si>
  <si>
    <t>Product Launch</t>
  </si>
  <si>
    <t>Henry Davis</t>
  </si>
  <si>
    <t>IT</t>
  </si>
  <si>
    <t>TASK0003</t>
  </si>
  <si>
    <t>Process Improvement</t>
  </si>
  <si>
    <t>In Progress</t>
  </si>
  <si>
    <t>Low</t>
  </si>
  <si>
    <t>TASK0004</t>
  </si>
  <si>
    <t>Grace Chen</t>
  </si>
  <si>
    <t>High</t>
  </si>
  <si>
    <t>TASK0005</t>
  </si>
  <si>
    <t>Emma Brown</t>
  </si>
  <si>
    <t>Sales</t>
  </si>
  <si>
    <t>Completed</t>
  </si>
  <si>
    <t>TASK0006</t>
  </si>
  <si>
    <t>Risk Assessment</t>
  </si>
  <si>
    <t>Karen Thomas</t>
  </si>
  <si>
    <t>Finance</t>
  </si>
  <si>
    <t>TASK0007</t>
  </si>
  <si>
    <t>Liam Jackson</t>
  </si>
  <si>
    <t>Cancelled</t>
  </si>
  <si>
    <t>TASK0008</t>
  </si>
  <si>
    <t>System Upgrade</t>
  </si>
  <si>
    <t>Frank Wilson</t>
  </si>
  <si>
    <t>TASK0009</t>
  </si>
  <si>
    <t>Policy Update</t>
  </si>
  <si>
    <t>David Lee</t>
  </si>
  <si>
    <t>Operations</t>
  </si>
  <si>
    <t>TASK0010</t>
  </si>
  <si>
    <t>Performance Review</t>
  </si>
  <si>
    <t>TASK0011</t>
  </si>
  <si>
    <t>Quarterly Report</t>
  </si>
  <si>
    <t>TASK0012</t>
  </si>
  <si>
    <t>James Anderson</t>
  </si>
  <si>
    <t>TASK0013</t>
  </si>
  <si>
    <t>Carol White</t>
  </si>
  <si>
    <t>TASK0014</t>
  </si>
  <si>
    <t>TASK0015</t>
  </si>
  <si>
    <t>Client Presentation</t>
  </si>
  <si>
    <t>Critical</t>
  </si>
  <si>
    <t>TASK0016</t>
  </si>
  <si>
    <t>Data Migration</t>
  </si>
  <si>
    <t>Maria Harris</t>
  </si>
  <si>
    <t>TASK0017</t>
  </si>
  <si>
    <t>Vendor Evaluation</t>
  </si>
  <si>
    <t>TASK0018</t>
  </si>
  <si>
    <t>TASK0019</t>
  </si>
  <si>
    <t>Team Meeting</t>
  </si>
  <si>
    <t>TASK0020</t>
  </si>
  <si>
    <t>Contract Negotiation</t>
  </si>
  <si>
    <t>TASK0021</t>
  </si>
  <si>
    <t>Code Review</t>
  </si>
  <si>
    <t>TASK0022</t>
  </si>
  <si>
    <t>TASK0023</t>
  </si>
  <si>
    <t>TASK0024</t>
  </si>
  <si>
    <t>TASK0025</t>
  </si>
  <si>
    <t>Compliance Audit</t>
  </si>
  <si>
    <t>Alice Johnson</t>
  </si>
  <si>
    <t>TASK0026</t>
  </si>
  <si>
    <t>Dashboard Setup</t>
  </si>
  <si>
    <t>TASK0027</t>
  </si>
  <si>
    <t>TASK0028</t>
  </si>
  <si>
    <t>TASK0029</t>
  </si>
  <si>
    <t>TASK0030</t>
  </si>
  <si>
    <t>TASK0031</t>
  </si>
  <si>
    <t>TASK0032</t>
  </si>
  <si>
    <t>Training Session</t>
  </si>
  <si>
    <t>TASK0033</t>
  </si>
  <si>
    <t>Security Patch</t>
  </si>
  <si>
    <t>TASK0034</t>
  </si>
  <si>
    <t>TASK0035</t>
  </si>
  <si>
    <t>Market Analysis</t>
  </si>
  <si>
    <t>Isabella Taylor</t>
  </si>
  <si>
    <t>TASK0036</t>
  </si>
  <si>
    <t>TASK0037</t>
  </si>
  <si>
    <t>TASK0038</t>
  </si>
  <si>
    <t>TASK0039</t>
  </si>
  <si>
    <t>TASK0040</t>
  </si>
  <si>
    <t>TASK0041</t>
  </si>
  <si>
    <t>Stakeholder Report</t>
  </si>
  <si>
    <t>TASK0042</t>
  </si>
  <si>
    <t>TASK0043</t>
  </si>
  <si>
    <t>TASK0044</t>
  </si>
  <si>
    <t>TASK0045</t>
  </si>
  <si>
    <t>TASK0046</t>
  </si>
  <si>
    <t>TASK0047</t>
  </si>
  <si>
    <t>TASK0048</t>
  </si>
  <si>
    <t>TASK0049</t>
  </si>
  <si>
    <t>Olivia Lewis</t>
  </si>
  <si>
    <t>TASK0050</t>
  </si>
  <si>
    <t>TASK0051</t>
  </si>
  <si>
    <t>TASK0052</t>
  </si>
  <si>
    <t>TASK0053</t>
  </si>
  <si>
    <t>Nathan Clark</t>
  </si>
  <si>
    <t>TASK0054</t>
  </si>
  <si>
    <t>TASK0055</t>
  </si>
  <si>
    <t>TASK0056</t>
  </si>
  <si>
    <t>TASK0057</t>
  </si>
  <si>
    <t>TASK0058</t>
  </si>
  <si>
    <t>TASK0059</t>
  </si>
  <si>
    <t>TASK0060</t>
  </si>
  <si>
    <t>TASK0061</t>
  </si>
  <si>
    <t>TASK0062</t>
  </si>
  <si>
    <t>TASK0063</t>
  </si>
  <si>
    <t>TASK0064</t>
  </si>
  <si>
    <t>TASK0065</t>
  </si>
  <si>
    <t>TASK0066</t>
  </si>
  <si>
    <t>TASK0067</t>
  </si>
  <si>
    <t>TASK0068</t>
  </si>
  <si>
    <t>TASK0069</t>
  </si>
  <si>
    <t>TASK0070</t>
  </si>
  <si>
    <t>TASK0071</t>
  </si>
  <si>
    <t>TASK0072</t>
  </si>
  <si>
    <t>TASK0073</t>
  </si>
  <si>
    <t>TASK0074</t>
  </si>
  <si>
    <t>TASK0075</t>
  </si>
  <si>
    <t>TASK0076</t>
  </si>
  <si>
    <t>TASK0077</t>
  </si>
  <si>
    <t>TASK0078</t>
  </si>
  <si>
    <t>TASK0079</t>
  </si>
  <si>
    <t>TASK0080</t>
  </si>
  <si>
    <t>TASK0081</t>
  </si>
  <si>
    <t>TASK0082</t>
  </si>
  <si>
    <t>TASK0083</t>
  </si>
  <si>
    <t>TASK0084</t>
  </si>
  <si>
    <t>TASK0085</t>
  </si>
  <si>
    <t>TASK0086</t>
  </si>
  <si>
    <t>TASK0087</t>
  </si>
  <si>
    <t>TASK0088</t>
  </si>
  <si>
    <t>TASK0089</t>
  </si>
  <si>
    <t>TASK0090</t>
  </si>
  <si>
    <t>TASK0091</t>
  </si>
  <si>
    <t>TASK0092</t>
  </si>
  <si>
    <t>TASK0093</t>
  </si>
  <si>
    <t>TASK0094</t>
  </si>
  <si>
    <t>TASK0095</t>
  </si>
  <si>
    <t>TASK0096</t>
  </si>
  <si>
    <t>TASK0097</t>
  </si>
  <si>
    <t>TASK0098</t>
  </si>
  <si>
    <t>TASK0099</t>
  </si>
  <si>
    <t>TASK0100</t>
  </si>
  <si>
    <t>TASK0101</t>
  </si>
  <si>
    <t>TASK0102</t>
  </si>
  <si>
    <t>TASK0103</t>
  </si>
  <si>
    <t>TASK0104</t>
  </si>
  <si>
    <t>TASK0105</t>
  </si>
  <si>
    <t>TASK0106</t>
  </si>
  <si>
    <t>TASK0107</t>
  </si>
  <si>
    <t>TASK0108</t>
  </si>
  <si>
    <t>TASK0109</t>
  </si>
  <si>
    <t>TASK0110</t>
  </si>
  <si>
    <t>TASK0111</t>
  </si>
  <si>
    <t>TASK0112</t>
  </si>
  <si>
    <t>TASK0113</t>
  </si>
  <si>
    <t>TASK0114</t>
  </si>
  <si>
    <t>TASK0115</t>
  </si>
  <si>
    <t>TASK0116</t>
  </si>
  <si>
    <t>TASK0117</t>
  </si>
  <si>
    <t>TASK0118</t>
  </si>
  <si>
    <t>TASK0119</t>
  </si>
  <si>
    <t>TASK0120</t>
  </si>
  <si>
    <t>TASK0121</t>
  </si>
  <si>
    <t>TASK0122</t>
  </si>
  <si>
    <t>TASK0123</t>
  </si>
  <si>
    <t>TASK0124</t>
  </si>
  <si>
    <t>TASK0125</t>
  </si>
  <si>
    <t>TASK0126</t>
  </si>
  <si>
    <t>TASK0127</t>
  </si>
  <si>
    <t>TASK0128</t>
  </si>
  <si>
    <t>TASK0129</t>
  </si>
  <si>
    <t>TASK0130</t>
  </si>
  <si>
    <t>TASK0131</t>
  </si>
  <si>
    <t>TASK0132</t>
  </si>
  <si>
    <t>TASK0133</t>
  </si>
  <si>
    <t>TASK0134</t>
  </si>
  <si>
    <t>TASK0135</t>
  </si>
  <si>
    <t>TASK0136</t>
  </si>
  <si>
    <t>TASK0137</t>
  </si>
  <si>
    <t>TASK0138</t>
  </si>
  <si>
    <t>TASK0139</t>
  </si>
  <si>
    <t>TASK0140</t>
  </si>
  <si>
    <t>TASK0141</t>
  </si>
  <si>
    <t>TASK0142</t>
  </si>
  <si>
    <t>TASK0143</t>
  </si>
  <si>
    <t>TASK0144</t>
  </si>
  <si>
    <t>TASK0145</t>
  </si>
  <si>
    <t>TASK0146</t>
  </si>
  <si>
    <t>TASK0147</t>
  </si>
  <si>
    <t>TASK0148</t>
  </si>
  <si>
    <t>TASK0149</t>
  </si>
  <si>
    <t>TASK0150</t>
  </si>
  <si>
    <t>TASK0151</t>
  </si>
  <si>
    <t>TASK0152</t>
  </si>
  <si>
    <t>TASK0153</t>
  </si>
  <si>
    <t>TASK0154</t>
  </si>
  <si>
    <t>TASK0155</t>
  </si>
  <si>
    <t>TASK0156</t>
  </si>
  <si>
    <t>TASK0157</t>
  </si>
  <si>
    <t>TASK0158</t>
  </si>
  <si>
    <t>TASK0159</t>
  </si>
  <si>
    <t>TASK0160</t>
  </si>
  <si>
    <t>TASK0161</t>
  </si>
  <si>
    <t>TASK0162</t>
  </si>
  <si>
    <t>TASK0163</t>
  </si>
  <si>
    <t>TASK0164</t>
  </si>
  <si>
    <t>TASK0165</t>
  </si>
  <si>
    <t>TASK0166</t>
  </si>
  <si>
    <t>TASK0167</t>
  </si>
  <si>
    <t>TASK0168</t>
  </si>
  <si>
    <t>TASK0169</t>
  </si>
  <si>
    <t>TASK0170</t>
  </si>
  <si>
    <t>TASK0171</t>
  </si>
  <si>
    <t>TASK0172</t>
  </si>
  <si>
    <t>TASK0173</t>
  </si>
  <si>
    <t>TASK0174</t>
  </si>
  <si>
    <t>TASK0175</t>
  </si>
  <si>
    <t>TASK0176</t>
  </si>
  <si>
    <t>TASK0177</t>
  </si>
  <si>
    <t>TASK0178</t>
  </si>
  <si>
    <t>TASK0179</t>
  </si>
  <si>
    <t>TASK0180</t>
  </si>
  <si>
    <t>TASK0181</t>
  </si>
  <si>
    <t>TASK0182</t>
  </si>
  <si>
    <t>TASK0183</t>
  </si>
  <si>
    <t>TASK0184</t>
  </si>
  <si>
    <t>TASK0185</t>
  </si>
  <si>
    <t>TASK0186</t>
  </si>
  <si>
    <t>TASK0187</t>
  </si>
  <si>
    <t>TASK0188</t>
  </si>
  <si>
    <t>TASK0189</t>
  </si>
  <si>
    <t>TASK0190</t>
  </si>
  <si>
    <t>TASK0191</t>
  </si>
  <si>
    <t>TASK0192</t>
  </si>
  <si>
    <t>TASK0193</t>
  </si>
  <si>
    <t>TASK0194</t>
  </si>
  <si>
    <t>TASK0195</t>
  </si>
  <si>
    <t>TASK0196</t>
  </si>
  <si>
    <t>TASK0197</t>
  </si>
  <si>
    <t>TASK0198</t>
  </si>
  <si>
    <t>TASK0199</t>
  </si>
  <si>
    <t>TASK0200</t>
  </si>
  <si>
    <t>TASK0201</t>
  </si>
  <si>
    <t>TASK0202</t>
  </si>
  <si>
    <t>TASK0203</t>
  </si>
  <si>
    <t>TASK0204</t>
  </si>
  <si>
    <t>TASK0205</t>
  </si>
  <si>
    <t>TASK0206</t>
  </si>
  <si>
    <t>TASK0207</t>
  </si>
  <si>
    <t>TASK0208</t>
  </si>
  <si>
    <t>TASK0209</t>
  </si>
  <si>
    <t>TASK0210</t>
  </si>
  <si>
    <t>TASK0211</t>
  </si>
  <si>
    <t>TASK0212</t>
  </si>
  <si>
    <t>TASK0213</t>
  </si>
  <si>
    <t>TASK0214</t>
  </si>
  <si>
    <t>TASK0215</t>
  </si>
  <si>
    <t>TASK0216</t>
  </si>
  <si>
    <t>TASK0217</t>
  </si>
  <si>
    <t>TASK0218</t>
  </si>
  <si>
    <t>TASK0219</t>
  </si>
  <si>
    <t>TASK0220</t>
  </si>
  <si>
    <t>TASK0221</t>
  </si>
  <si>
    <t>TASK0222</t>
  </si>
  <si>
    <t>TASK0223</t>
  </si>
  <si>
    <t>TASK0224</t>
  </si>
  <si>
    <t>TASK0225</t>
  </si>
  <si>
    <t>TASK0226</t>
  </si>
  <si>
    <t>TASK0227</t>
  </si>
  <si>
    <t>TASK0228</t>
  </si>
  <si>
    <t>TASK0229</t>
  </si>
  <si>
    <t>TASK0230</t>
  </si>
  <si>
    <t>TASK0231</t>
  </si>
  <si>
    <t>TASK0232</t>
  </si>
  <si>
    <t>TASK0233</t>
  </si>
  <si>
    <t>TASK0234</t>
  </si>
  <si>
    <t>TASK0235</t>
  </si>
  <si>
    <t>TASK0236</t>
  </si>
  <si>
    <t>TASK0237</t>
  </si>
  <si>
    <t>TASK0238</t>
  </si>
  <si>
    <t>TASK0239</t>
  </si>
  <si>
    <t>TASK0240</t>
  </si>
  <si>
    <t>TASK0241</t>
  </si>
  <si>
    <t>TASK0242</t>
  </si>
  <si>
    <t>TASK0243</t>
  </si>
  <si>
    <t>TASK0244</t>
  </si>
  <si>
    <t>TASK0245</t>
  </si>
  <si>
    <t>TASK0246</t>
  </si>
  <si>
    <t>TASK0247</t>
  </si>
  <si>
    <t>TASK0248</t>
  </si>
  <si>
    <t>TASK0249</t>
  </si>
  <si>
    <t>TASK0250</t>
  </si>
  <si>
    <t>TASK0251</t>
  </si>
  <si>
    <t>TASK0252</t>
  </si>
  <si>
    <t>TASK0253</t>
  </si>
  <si>
    <t>TASK0254</t>
  </si>
  <si>
    <t>TASK0255</t>
  </si>
  <si>
    <t>TASK0256</t>
  </si>
  <si>
    <t>TASK0257</t>
  </si>
  <si>
    <t>TASK0258</t>
  </si>
  <si>
    <t>TASK0259</t>
  </si>
  <si>
    <t>TASK0260</t>
  </si>
  <si>
    <t>TASK0261</t>
  </si>
  <si>
    <t>TASK0262</t>
  </si>
  <si>
    <t>TASK0263</t>
  </si>
  <si>
    <t>TASK0264</t>
  </si>
  <si>
    <t>TASK0265</t>
  </si>
  <si>
    <t>TASK0266</t>
  </si>
  <si>
    <t>TASK0267</t>
  </si>
  <si>
    <t>TASK0268</t>
  </si>
  <si>
    <t>TASK0269</t>
  </si>
  <si>
    <t>TASK0270</t>
  </si>
  <si>
    <t>TASK0271</t>
  </si>
  <si>
    <t>TASK0272</t>
  </si>
  <si>
    <t>TASK0273</t>
  </si>
  <si>
    <t>TASK0274</t>
  </si>
  <si>
    <t>TASK0275</t>
  </si>
  <si>
    <t>TASK0276</t>
  </si>
  <si>
    <t>TASK0277</t>
  </si>
  <si>
    <t>TASK0278</t>
  </si>
  <si>
    <t>TASK0279</t>
  </si>
  <si>
    <t>TASK0280</t>
  </si>
  <si>
    <t>TASK0281</t>
  </si>
  <si>
    <t>TASK0282</t>
  </si>
  <si>
    <t>TASK0283</t>
  </si>
  <si>
    <t>TASK0284</t>
  </si>
  <si>
    <t>TASK0285</t>
  </si>
  <si>
    <t>TASK0286</t>
  </si>
  <si>
    <t>TASK0287</t>
  </si>
  <si>
    <t>TASK0288</t>
  </si>
  <si>
    <t>TASK0289</t>
  </si>
  <si>
    <t>TASK0290</t>
  </si>
  <si>
    <t>TASK0291</t>
  </si>
  <si>
    <t>TASK0292</t>
  </si>
  <si>
    <t>TASK0293</t>
  </si>
  <si>
    <t>TASK0294</t>
  </si>
  <si>
    <t>TASK0295</t>
  </si>
  <si>
    <t>TASK0296</t>
  </si>
  <si>
    <t>TASK0297</t>
  </si>
  <si>
    <t>TASK0298</t>
  </si>
  <si>
    <t>TASK0299</t>
  </si>
  <si>
    <t>TASK0300</t>
  </si>
  <si>
    <t>TASK0301</t>
  </si>
  <si>
    <t>TASK0302</t>
  </si>
  <si>
    <t>TASK0303</t>
  </si>
  <si>
    <t>TASK0304</t>
  </si>
  <si>
    <t>TASK0305</t>
  </si>
  <si>
    <t>TASK0306</t>
  </si>
  <si>
    <t>TASK0307</t>
  </si>
  <si>
    <t>TASK0308</t>
  </si>
  <si>
    <t>TASK0309</t>
  </si>
  <si>
    <t>TASK0310</t>
  </si>
  <si>
    <t>TASK0311</t>
  </si>
  <si>
    <t>TASK0312</t>
  </si>
  <si>
    <t>TASK0313</t>
  </si>
  <si>
    <t>TASK0314</t>
  </si>
  <si>
    <t>TASK0315</t>
  </si>
  <si>
    <t>TASK0316</t>
  </si>
  <si>
    <t>TASK0317</t>
  </si>
  <si>
    <t>TASK0318</t>
  </si>
  <si>
    <t>TASK0319</t>
  </si>
  <si>
    <t>TASK0320</t>
  </si>
  <si>
    <t>TASK0321</t>
  </si>
  <si>
    <t>TASK0322</t>
  </si>
  <si>
    <t>TASK0323</t>
  </si>
  <si>
    <t>TASK0324</t>
  </si>
  <si>
    <t>TASK0325</t>
  </si>
  <si>
    <t>TASK0326</t>
  </si>
  <si>
    <t>TASK0327</t>
  </si>
  <si>
    <t>TASK0328</t>
  </si>
  <si>
    <t>TASK0329</t>
  </si>
  <si>
    <t>TASK0330</t>
  </si>
  <si>
    <t>TASK0331</t>
  </si>
  <si>
    <t>TASK0332</t>
  </si>
  <si>
    <t>TASK0333</t>
  </si>
  <si>
    <t>TASK0334</t>
  </si>
  <si>
    <t>TASK0335</t>
  </si>
  <si>
    <t>TASK0336</t>
  </si>
  <si>
    <t>TASK0337</t>
  </si>
  <si>
    <t>TASK0338</t>
  </si>
  <si>
    <t>TASK0339</t>
  </si>
  <si>
    <t>TASK0340</t>
  </si>
  <si>
    <t>TASK0341</t>
  </si>
  <si>
    <t>TASK0342</t>
  </si>
  <si>
    <t>TASK0343</t>
  </si>
  <si>
    <t>TASK0344</t>
  </si>
  <si>
    <t>TASK0345</t>
  </si>
  <si>
    <t>TASK0346</t>
  </si>
  <si>
    <t>TASK0347</t>
  </si>
  <si>
    <t>TASK0348</t>
  </si>
  <si>
    <t>TASK0349</t>
  </si>
  <si>
    <t>TASK0350</t>
  </si>
  <si>
    <t>TASK0351</t>
  </si>
  <si>
    <t>TASK0352</t>
  </si>
  <si>
    <t>TASK0353</t>
  </si>
  <si>
    <t>TASK0354</t>
  </si>
  <si>
    <t>TASK0355</t>
  </si>
  <si>
    <t>TASK0356</t>
  </si>
  <si>
    <t>TASK0357</t>
  </si>
  <si>
    <t>TASK0358</t>
  </si>
  <si>
    <t>TASK0359</t>
  </si>
  <si>
    <t>TASK0360</t>
  </si>
  <si>
    <t>TASK0361</t>
  </si>
  <si>
    <t>TASK0362</t>
  </si>
  <si>
    <t>TASK0363</t>
  </si>
  <si>
    <t>TASK0364</t>
  </si>
  <si>
    <t>TASK0365</t>
  </si>
  <si>
    <t>TASK0366</t>
  </si>
  <si>
    <t>TASK0367</t>
  </si>
  <si>
    <t>TASK0368</t>
  </si>
  <si>
    <t>TASK0369</t>
  </si>
  <si>
    <t>TASK0370</t>
  </si>
  <si>
    <t>TASK0371</t>
  </si>
  <si>
    <t>TASK0372</t>
  </si>
  <si>
    <t>TASK0373</t>
  </si>
  <si>
    <t>TASK0374</t>
  </si>
  <si>
    <t>TASK0375</t>
  </si>
  <si>
    <t>TASK0376</t>
  </si>
  <si>
    <t>TASK0377</t>
  </si>
  <si>
    <t>TASK0378</t>
  </si>
  <si>
    <t>TASK0379</t>
  </si>
  <si>
    <t>TASK0380</t>
  </si>
  <si>
    <t>TASK0381</t>
  </si>
  <si>
    <t>TASK0382</t>
  </si>
  <si>
    <t>TASK0383</t>
  </si>
  <si>
    <t>TASK0384</t>
  </si>
  <si>
    <t>TASK0385</t>
  </si>
  <si>
    <t>TASK0386</t>
  </si>
  <si>
    <t>TASK0387</t>
  </si>
  <si>
    <t>TASK0388</t>
  </si>
  <si>
    <t>TASK0389</t>
  </si>
  <si>
    <t>TASK0390</t>
  </si>
  <si>
    <t>TASK0391</t>
  </si>
  <si>
    <t>TASK0392</t>
  </si>
  <si>
    <t>TASK0393</t>
  </si>
  <si>
    <t>TASK0394</t>
  </si>
  <si>
    <t>TASK0395</t>
  </si>
  <si>
    <t>TASK0396</t>
  </si>
  <si>
    <t>TASK0397</t>
  </si>
  <si>
    <t>TASK0398</t>
  </si>
  <si>
    <t>TASK0399</t>
  </si>
  <si>
    <t>TASK0400</t>
  </si>
  <si>
    <t>TASK0401</t>
  </si>
  <si>
    <t>TASK0402</t>
  </si>
  <si>
    <t>TASK0403</t>
  </si>
  <si>
    <t>TASK0404</t>
  </si>
  <si>
    <t>TASK0405</t>
  </si>
  <si>
    <t>TASK0406</t>
  </si>
  <si>
    <t>TASK0407</t>
  </si>
  <si>
    <t>TASK0408</t>
  </si>
  <si>
    <t>TASK0409</t>
  </si>
  <si>
    <t>TASK0410</t>
  </si>
  <si>
    <t>TASK0411</t>
  </si>
  <si>
    <t>TASK0412</t>
  </si>
  <si>
    <t>TASK0413</t>
  </si>
  <si>
    <t>TASK0414</t>
  </si>
  <si>
    <t>TASK0415</t>
  </si>
  <si>
    <t>TASK0416</t>
  </si>
  <si>
    <t>TASK0417</t>
  </si>
  <si>
    <t>TASK0418</t>
  </si>
  <si>
    <t>TASK0419</t>
  </si>
  <si>
    <t>TASK0420</t>
  </si>
  <si>
    <t>TASK0421</t>
  </si>
  <si>
    <t>TASK0422</t>
  </si>
  <si>
    <t>TASK0423</t>
  </si>
  <si>
    <t>TASK0424</t>
  </si>
  <si>
    <t>TASK0425</t>
  </si>
  <si>
    <t>TASK0426</t>
  </si>
  <si>
    <t>TASK0427</t>
  </si>
  <si>
    <t>TASK0428</t>
  </si>
  <si>
    <t>TASK0429</t>
  </si>
  <si>
    <t>TASK0430</t>
  </si>
  <si>
    <t>TASK0431</t>
  </si>
  <si>
    <t>TASK0432</t>
  </si>
  <si>
    <t>TASK0433</t>
  </si>
  <si>
    <t>TASK0434</t>
  </si>
  <si>
    <t>TASK0435</t>
  </si>
  <si>
    <t>TASK0436</t>
  </si>
  <si>
    <t>TASK0437</t>
  </si>
  <si>
    <t>TASK0438</t>
  </si>
  <si>
    <t>TASK0439</t>
  </si>
  <si>
    <t>TASK0440</t>
  </si>
  <si>
    <t>TASK0441</t>
  </si>
  <si>
    <t>TASK0442</t>
  </si>
  <si>
    <t>TASK0443</t>
  </si>
  <si>
    <t>TASK0444</t>
  </si>
  <si>
    <t>TASK0445</t>
  </si>
  <si>
    <t>TASK0446</t>
  </si>
  <si>
    <t>TASK0447</t>
  </si>
  <si>
    <t>TASK0448</t>
  </si>
  <si>
    <t>TASK0449</t>
  </si>
  <si>
    <t>TASK0450</t>
  </si>
  <si>
    <t>TASK0451</t>
  </si>
  <si>
    <t>TASK0452</t>
  </si>
  <si>
    <t>TASK0453</t>
  </si>
  <si>
    <t>TASK0454</t>
  </si>
  <si>
    <t>TASK0455</t>
  </si>
  <si>
    <t>TASK0456</t>
  </si>
  <si>
    <t>TASK0457</t>
  </si>
  <si>
    <t>TASK0458</t>
  </si>
  <si>
    <t>TASK0459</t>
  </si>
  <si>
    <t>TASK0460</t>
  </si>
  <si>
    <t>TASK0461</t>
  </si>
  <si>
    <t>TASK0462</t>
  </si>
  <si>
    <t>TASK0463</t>
  </si>
  <si>
    <t>TASK0464</t>
  </si>
  <si>
    <t>TASK0465</t>
  </si>
  <si>
    <t>TASK0466</t>
  </si>
  <si>
    <t>TASK0467</t>
  </si>
  <si>
    <t>TASK0468</t>
  </si>
  <si>
    <t>TASK0469</t>
  </si>
  <si>
    <t>TASK0470</t>
  </si>
  <si>
    <t>TASK0471</t>
  </si>
  <si>
    <t>TASK0472</t>
  </si>
  <si>
    <t>TASK0473</t>
  </si>
  <si>
    <t>TASK0474</t>
  </si>
  <si>
    <t>TASK0475</t>
  </si>
  <si>
    <t>TASK0476</t>
  </si>
  <si>
    <t>TASK0477</t>
  </si>
  <si>
    <t>TASK0478</t>
  </si>
  <si>
    <t>TASK0479</t>
  </si>
  <si>
    <t>TASK0480</t>
  </si>
  <si>
    <t>TASK0481</t>
  </si>
  <si>
    <t>TASK0482</t>
  </si>
  <si>
    <t>TASK0483</t>
  </si>
  <si>
    <t>TASK0484</t>
  </si>
  <si>
    <t>TASK0485</t>
  </si>
  <si>
    <t>TASK0486</t>
  </si>
  <si>
    <t>TASK0487</t>
  </si>
  <si>
    <t>TASK0488</t>
  </si>
  <si>
    <t>TASK0489</t>
  </si>
  <si>
    <t>TASK0490</t>
  </si>
  <si>
    <t>TASK0491</t>
  </si>
  <si>
    <t>TASK0492</t>
  </si>
  <si>
    <t>TASK0493</t>
  </si>
  <si>
    <t>TASK0494</t>
  </si>
  <si>
    <t>TASK0495</t>
  </si>
  <si>
    <t>TASK0496</t>
  </si>
  <si>
    <t>TASK0497</t>
  </si>
  <si>
    <t>TASK0498</t>
  </si>
  <si>
    <t>TASK0499</t>
  </si>
  <si>
    <t>TASK0500</t>
  </si>
  <si>
    <t>TASK0501</t>
  </si>
  <si>
    <t>TASK0502</t>
  </si>
  <si>
    <t>TASK0503</t>
  </si>
  <si>
    <t>TASK0504</t>
  </si>
  <si>
    <t>TASK0505</t>
  </si>
  <si>
    <t>TASK0506</t>
  </si>
  <si>
    <t>TASK0507</t>
  </si>
  <si>
    <t>TASK0508</t>
  </si>
  <si>
    <t>TASK0509</t>
  </si>
  <si>
    <t>TASK0510</t>
  </si>
  <si>
    <t>TASK0511</t>
  </si>
  <si>
    <t>TASK0512</t>
  </si>
  <si>
    <t>TASK0513</t>
  </si>
  <si>
    <t>TASK0514</t>
  </si>
  <si>
    <t>TASK0515</t>
  </si>
  <si>
    <t>TASK0516</t>
  </si>
  <si>
    <t>TASK0517</t>
  </si>
  <si>
    <t>TASK0518</t>
  </si>
  <si>
    <t>TASK0519</t>
  </si>
  <si>
    <t>TASK0520</t>
  </si>
  <si>
    <t>TASK0521</t>
  </si>
  <si>
    <t>TASK0522</t>
  </si>
  <si>
    <t>TASK0523</t>
  </si>
  <si>
    <t>TASK0524</t>
  </si>
  <si>
    <t>TASK0525</t>
  </si>
  <si>
    <t>TASK0526</t>
  </si>
  <si>
    <t>TASK0527</t>
  </si>
  <si>
    <t>TASK0528</t>
  </si>
  <si>
    <t>TASK0529</t>
  </si>
  <si>
    <t>TASK0530</t>
  </si>
  <si>
    <t>TASK0531</t>
  </si>
  <si>
    <t>TASK0532</t>
  </si>
  <si>
    <t>TASK0533</t>
  </si>
  <si>
    <t>TASK0534</t>
  </si>
  <si>
    <t>TASK0535</t>
  </si>
  <si>
    <t>TASK0536</t>
  </si>
  <si>
    <t>TASK0537</t>
  </si>
  <si>
    <t>TASK0538</t>
  </si>
  <si>
    <t>TASK0539</t>
  </si>
  <si>
    <t>TASK0540</t>
  </si>
  <si>
    <t>TASK0541</t>
  </si>
  <si>
    <t>TASK0542</t>
  </si>
  <si>
    <t>TASK0543</t>
  </si>
  <si>
    <t>TASK0544</t>
  </si>
  <si>
    <t>TASK0545</t>
  </si>
  <si>
    <t>TASK0546</t>
  </si>
  <si>
    <t>TASK0547</t>
  </si>
  <si>
    <t>TASK0548</t>
  </si>
  <si>
    <t>TASK0549</t>
  </si>
  <si>
    <t>TASK0550</t>
  </si>
  <si>
    <t>Task Completion Dashboard</t>
  </si>
  <si>
    <t>Completion Rate</t>
  </si>
  <si>
    <t>Overdue Tasks</t>
  </si>
  <si>
    <t>Avg Days Overdue</t>
  </si>
  <si>
    <t>On-Time Rate</t>
  </si>
  <si>
    <t>Etiquetas de fila</t>
  </si>
  <si>
    <t>Total general</t>
  </si>
  <si>
    <t>Task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</si>
</sst>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[task_completion_dashboard.xlsx]PivotData!PT_Department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PivotData!$A$2:$A$7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PivotData!$B$2:$B$7</c:f>
              <c:numCache>
                <c:formatCode>General</c:formatCode>
                <c:ptCount val="5"/>
                <c:pt idx="0">
                  <c:v>91</c:v>
                </c:pt>
                <c:pt idx="1">
                  <c:v>140</c:v>
                </c:pt>
                <c:pt idx="2">
                  <c:v>116</c:v>
                </c:pt>
                <c:pt idx="3">
                  <c:v>91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8-4EBA-BECB-F00DF09C2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84400"/>
        <c:axId val="1310375248"/>
      </c:barChart>
      <c:catAx>
        <c:axId val="131038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0375248"/>
        <c:crosses val="autoZero"/>
        <c:auto val="1"/>
        <c:lblAlgn val="ctr"/>
        <c:lblOffset val="100"/>
        <c:noMultiLvlLbl val="0"/>
      </c:catAx>
      <c:valAx>
        <c:axId val="131037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038440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[task_completion_dashboard.xlsx]PivotData!PT_Status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PivotData!$F$1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PivotData!$E$2:$E$6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In Progress</c:v>
                </c:pt>
                <c:pt idx="3">
                  <c:v>Overdue</c:v>
                </c:pt>
              </c:strCache>
            </c:strRef>
          </c:cat>
          <c:val>
            <c:numRef>
              <c:f>PivotData!$F$2:$F$6</c:f>
              <c:numCache>
                <c:formatCode>General</c:formatCode>
                <c:ptCount val="4"/>
                <c:pt idx="0">
                  <c:v>60</c:v>
                </c:pt>
                <c:pt idx="1">
                  <c:v>308</c:v>
                </c:pt>
                <c:pt idx="2">
                  <c:v>81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4-47D0-B507-AB1AB592F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[task_completion_dashboard.xlsx]PivotData!PT_Priority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PivotData!$J$1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PivotData!$I$2:$I$6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PivotData!$J$2:$J$6</c:f>
              <c:numCache>
                <c:formatCode>General</c:formatCode>
                <c:ptCount val="4"/>
                <c:pt idx="0">
                  <c:v>53</c:v>
                </c:pt>
                <c:pt idx="1">
                  <c:v>147</c:v>
                </c:pt>
                <c:pt idx="2">
                  <c:v>118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2-410E-86EB-C6D1FF179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692336"/>
        <c:axId val="1307685264"/>
      </c:barChart>
      <c:catAx>
        <c:axId val="1307692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07685264"/>
        <c:crosses val="autoZero"/>
        <c:auto val="1"/>
        <c:lblAlgn val="ctr"/>
        <c:lblOffset val="100"/>
        <c:noMultiLvlLbl val="0"/>
      </c:catAx>
      <c:valAx>
        <c:axId val="13076852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0769233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B46080-5DAB-4002-8946-57E3E5C04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089825-BC57-4309-A700-25C31BCBC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1260BE-8A77-4F23-A0C6-FA675AC75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9</xdr:col>
      <xdr:colOff>304800</xdr:colOff>
      <xdr:row>36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tSlicer">
              <a:extLst>
                <a:ext uri="{FF2B5EF4-FFF2-40B4-BE49-F238E27FC236}">
                  <a16:creationId xmlns:a16="http://schemas.microsoft.com/office/drawing/2014/main" id="{DFC528A2-041C-4BFA-B86C-DFD90AB40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438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23</xdr:row>
      <xdr:rowOff>0</xdr:rowOff>
    </xdr:from>
    <xdr:to>
      <xdr:col>12</xdr:col>
      <xdr:colOff>304800</xdr:colOff>
      <xdr:row>36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usSlicer">
              <a:extLst>
                <a:ext uri="{FF2B5EF4-FFF2-40B4-BE49-F238E27FC236}">
                  <a16:creationId xmlns:a16="http://schemas.microsoft.com/office/drawing/2014/main" id="{CFCF925D-BA16-47DD-A49E-739DCCFF26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438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0</xdr:colOff>
      <xdr:row>23</xdr:row>
      <xdr:rowOff>0</xdr:rowOff>
    </xdr:from>
    <xdr:to>
      <xdr:col>15</xdr:col>
      <xdr:colOff>304800</xdr:colOff>
      <xdr:row>36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PrioritySlicer">
              <a:extLst>
                <a:ext uri="{FF2B5EF4-FFF2-40B4-BE49-F238E27FC236}">
                  <a16:creationId xmlns:a16="http://schemas.microsoft.com/office/drawing/2014/main" id="{C8EE69BF-3E06-4F21-A75D-C596F3AB76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ty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438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22634722221" createdVersion="3" refreshedVersion="7" minRefreshableVersion="3" recordCount="550" xr:uid="{EB7AFD87-0E94-4A99-96F6-53129F421D2B}">
  <cacheSource type="worksheet">
    <worksheetSource name="TaskData"/>
  </cacheSource>
  <cacheFields count="12">
    <cacheField name="task_id" numFmtId="0">
      <sharedItems/>
    </cacheField>
    <cacheField name="task_name" numFmtId="0">
      <sharedItems/>
    </cacheField>
    <cacheField name="assignee" numFmtId="0">
      <sharedItems/>
    </cacheField>
    <cacheField name="department" numFmtId="0">
      <sharedItems count="5">
        <s v="HR"/>
        <s v="IT"/>
        <s v="Sales"/>
        <s v="Finance"/>
        <s v="Operations"/>
      </sharedItems>
    </cacheField>
    <cacheField name="assigned_date" numFmtId="14">
      <sharedItems containsSemiMixedTypes="0" containsNonDate="0" containsDate="1" containsString="0" minDate="2025-01-01T00:00:00" maxDate="2026-03-27T00:00:00"/>
    </cacheField>
    <cacheField name="due_date" numFmtId="14">
      <sharedItems containsSemiMixedTypes="0" containsNonDate="0" containsDate="1" containsString="0" minDate="2025-01-11T00:00:00" maxDate="2026-04-20T00:00:00"/>
    </cacheField>
    <cacheField name="completion_date" numFmtId="0">
      <sharedItems containsNonDate="0" containsDate="1" containsString="0" containsBlank="1" minDate="2025-01-10T00:00:00" maxDate="2026-04-23T00:00:00"/>
    </cacheField>
    <cacheField name="status" numFmtId="0">
      <sharedItems/>
    </cacheField>
    <cacheField name="priority" numFmtId="0">
      <sharedItems/>
    </cacheField>
    <cacheField name="is_overdue" numFmtId="0">
      <sharedItems/>
    </cacheField>
    <cacheField name="days_overdue" numFmtId="0">
      <sharedItems containsSemiMixedTypes="0" containsString="0" containsNumber="1" containsInteger="1" minValue="0" maxValue="19"/>
    </cacheField>
    <cacheField name="sprint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16131558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22689814812" createdVersion="3" refreshedVersion="7" minRefreshableVersion="3" recordCount="550" xr:uid="{140D4B0A-DBAA-4A2B-8A4B-649ECDF0288E}">
  <cacheSource type="worksheet">
    <worksheetSource name="TaskData"/>
  </cacheSource>
  <cacheFields count="12">
    <cacheField name="task_id" numFmtId="0">
      <sharedItems/>
    </cacheField>
    <cacheField name="task_name" numFmtId="0">
      <sharedItems/>
    </cacheField>
    <cacheField name="assignee" numFmtId="0">
      <sharedItems/>
    </cacheField>
    <cacheField name="department" numFmtId="0">
      <sharedItems/>
    </cacheField>
    <cacheField name="assigned_date" numFmtId="14">
      <sharedItems containsSemiMixedTypes="0" containsNonDate="0" containsDate="1" containsString="0" minDate="2025-01-01T00:00:00" maxDate="2026-03-27T00:00:00"/>
    </cacheField>
    <cacheField name="due_date" numFmtId="14">
      <sharedItems containsSemiMixedTypes="0" containsNonDate="0" containsDate="1" containsString="0" minDate="2025-01-11T00:00:00" maxDate="2026-04-20T00:00:00"/>
    </cacheField>
    <cacheField name="completion_date" numFmtId="0">
      <sharedItems containsNonDate="0" containsDate="1" containsString="0" containsBlank="1" minDate="2025-01-10T00:00:00" maxDate="2026-04-23T00:00:00"/>
    </cacheField>
    <cacheField name="status" numFmtId="0">
      <sharedItems count="4">
        <s v="Overdue"/>
        <s v="In Progress"/>
        <s v="Completed"/>
        <s v="Cancelled"/>
      </sharedItems>
    </cacheField>
    <cacheField name="priority" numFmtId="0">
      <sharedItems/>
    </cacheField>
    <cacheField name="is_overdue" numFmtId="0">
      <sharedItems/>
    </cacheField>
    <cacheField name="days_overdue" numFmtId="0">
      <sharedItems containsSemiMixedTypes="0" containsString="0" containsNumber="1" containsInteger="1" minValue="0" maxValue="19"/>
    </cacheField>
    <cacheField name="sprint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55542943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22744675925" createdVersion="3" refreshedVersion="7" minRefreshableVersion="3" recordCount="550" xr:uid="{A3A6D49F-08E8-4992-9CF7-12D528CDD857}">
  <cacheSource type="worksheet">
    <worksheetSource name="TaskData"/>
  </cacheSource>
  <cacheFields count="12">
    <cacheField name="task_id" numFmtId="0">
      <sharedItems/>
    </cacheField>
    <cacheField name="task_name" numFmtId="0">
      <sharedItems/>
    </cacheField>
    <cacheField name="assignee" numFmtId="0">
      <sharedItems/>
    </cacheField>
    <cacheField name="department" numFmtId="0">
      <sharedItems/>
    </cacheField>
    <cacheField name="assigned_date" numFmtId="14">
      <sharedItems containsSemiMixedTypes="0" containsNonDate="0" containsDate="1" containsString="0" minDate="2025-01-01T00:00:00" maxDate="2026-03-27T00:00:00"/>
    </cacheField>
    <cacheField name="due_date" numFmtId="14">
      <sharedItems containsSemiMixedTypes="0" containsNonDate="0" containsDate="1" containsString="0" minDate="2025-01-11T00:00:00" maxDate="2026-04-20T00:00:00"/>
    </cacheField>
    <cacheField name="completion_date" numFmtId="0">
      <sharedItems containsNonDate="0" containsDate="1" containsString="0" containsBlank="1" minDate="2025-01-10T00:00:00" maxDate="2026-04-23T00:00:00"/>
    </cacheField>
    <cacheField name="status" numFmtId="0">
      <sharedItems/>
    </cacheField>
    <cacheField name="priority" numFmtId="0">
      <sharedItems count="4">
        <s v="Medium"/>
        <s v="Low"/>
        <s v="High"/>
        <s v="Critical"/>
      </sharedItems>
    </cacheField>
    <cacheField name="is_overdue" numFmtId="0">
      <sharedItems/>
    </cacheField>
    <cacheField name="days_overdue" numFmtId="0">
      <sharedItems containsSemiMixedTypes="0" containsString="0" containsNumber="1" containsInteger="1" minValue="0" maxValue="19"/>
    </cacheField>
    <cacheField name="sprint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442121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TASK0001"/>
    <s v="Budget Review"/>
    <s v="Bob Martinez"/>
    <x v="0"/>
    <d v="2025-11-10T00:00:00"/>
    <d v="2025-11-18T00:00:00"/>
    <m/>
    <s v="Overdue"/>
    <s v="Medium"/>
    <b v="1"/>
    <n v="2"/>
    <n v="8"/>
  </r>
  <r>
    <s v="TASK0002"/>
    <s v="Product Launch"/>
    <s v="Henry Davis"/>
    <x v="1"/>
    <d v="2025-02-27T00:00:00"/>
    <d v="2025-03-24T00:00:00"/>
    <m/>
    <s v="Overdue"/>
    <s v="Medium"/>
    <b v="1"/>
    <n v="9"/>
    <n v="10"/>
  </r>
  <r>
    <s v="TASK0003"/>
    <s v="Process Improvement"/>
    <s v="Henry Davis"/>
    <x v="1"/>
    <d v="2026-01-06T00:00:00"/>
    <d v="2026-01-23T00:00:00"/>
    <m/>
    <s v="In Progress"/>
    <s v="Low"/>
    <b v="0"/>
    <n v="0"/>
    <n v="4"/>
  </r>
  <r>
    <s v="TASK0004"/>
    <s v="Budget Review"/>
    <s v="Grace Chen"/>
    <x v="0"/>
    <d v="2026-01-22T00:00:00"/>
    <d v="2026-02-16T00:00:00"/>
    <m/>
    <s v="In Progress"/>
    <s v="High"/>
    <b v="0"/>
    <n v="0"/>
    <n v="9"/>
  </r>
  <r>
    <s v="TASK0005"/>
    <s v="Budget Review"/>
    <s v="Emma Brown"/>
    <x v="2"/>
    <d v="2026-03-13T00:00:00"/>
    <d v="2026-03-28T00:00:00"/>
    <d v="2026-04-03T00:00:00"/>
    <s v="Completed"/>
    <s v="Medium"/>
    <b v="1"/>
    <n v="6"/>
    <n v="7"/>
  </r>
  <r>
    <s v="TASK0006"/>
    <s v="Risk Assessment"/>
    <s v="Karen Thomas"/>
    <x v="3"/>
    <d v="2025-01-20T00:00:00"/>
    <d v="2025-02-06T00:00:00"/>
    <d v="2025-02-05T00:00:00"/>
    <s v="Completed"/>
    <s v="High"/>
    <b v="0"/>
    <n v="0"/>
    <n v="8"/>
  </r>
  <r>
    <s v="TASK0007"/>
    <s v="Process Improvement"/>
    <s v="Liam Jackson"/>
    <x v="0"/>
    <d v="2025-05-27T00:00:00"/>
    <d v="2025-06-23T00:00:00"/>
    <m/>
    <s v="Cancelled"/>
    <s v="Medium"/>
    <b v="0"/>
    <n v="0"/>
    <n v="7"/>
  </r>
  <r>
    <s v="TASK0008"/>
    <s v="System Upgrade"/>
    <s v="Frank Wilson"/>
    <x v="3"/>
    <d v="2025-11-05T00:00:00"/>
    <d v="2025-11-20T00:00:00"/>
    <d v="2025-11-21T00:00:00"/>
    <s v="Completed"/>
    <s v="Medium"/>
    <b v="1"/>
    <n v="1"/>
    <n v="5"/>
  </r>
  <r>
    <s v="TASK0009"/>
    <s v="Policy Update"/>
    <s v="David Lee"/>
    <x v="4"/>
    <d v="2025-10-11T00:00:00"/>
    <d v="2025-11-01T00:00:00"/>
    <d v="2025-10-30T00:00:00"/>
    <s v="Completed"/>
    <s v="Medium"/>
    <b v="0"/>
    <n v="0"/>
    <n v="2"/>
  </r>
  <r>
    <s v="TASK0010"/>
    <s v="Performance Review"/>
    <s v="Emma Brown"/>
    <x v="2"/>
    <d v="2026-02-09T00:00:00"/>
    <d v="2026-02-19T00:00:00"/>
    <m/>
    <s v="Overdue"/>
    <s v="Low"/>
    <b v="1"/>
    <n v="5"/>
    <n v="9"/>
  </r>
  <r>
    <s v="TASK0011"/>
    <s v="Quarterly Report"/>
    <s v="Karen Thomas"/>
    <x v="3"/>
    <d v="2025-12-25T00:00:00"/>
    <d v="2026-01-18T00:00:00"/>
    <d v="2026-01-23T00:00:00"/>
    <s v="Completed"/>
    <s v="High"/>
    <b v="1"/>
    <n v="5"/>
    <n v="9"/>
  </r>
  <r>
    <s v="TASK0012"/>
    <s v="Risk Assessment"/>
    <s v="James Anderson"/>
    <x v="2"/>
    <d v="2025-08-16T00:00:00"/>
    <d v="2025-09-03T00:00:00"/>
    <m/>
    <s v="Overdue"/>
    <s v="Medium"/>
    <b v="1"/>
    <n v="1"/>
    <n v="6"/>
  </r>
  <r>
    <s v="TASK0013"/>
    <s v="Risk Assessment"/>
    <s v="Carol White"/>
    <x v="1"/>
    <d v="2026-01-20T00:00:00"/>
    <d v="2026-02-07T00:00:00"/>
    <m/>
    <s v="In Progress"/>
    <s v="High"/>
    <b v="0"/>
    <n v="0"/>
    <n v="7"/>
  </r>
  <r>
    <s v="TASK0014"/>
    <s v="Budget Review"/>
    <s v="Bob Martinez"/>
    <x v="0"/>
    <d v="2025-09-09T00:00:00"/>
    <d v="2025-10-03T00:00:00"/>
    <m/>
    <s v="In Progress"/>
    <s v="Medium"/>
    <b v="0"/>
    <n v="0"/>
    <n v="8"/>
  </r>
  <r>
    <s v="TASK0015"/>
    <s v="Client Presentation"/>
    <s v="Emma Brown"/>
    <x v="2"/>
    <d v="2025-05-05T00:00:00"/>
    <d v="2025-05-19T00:00:00"/>
    <d v="2025-05-26T00:00:00"/>
    <s v="Completed"/>
    <s v="Critical"/>
    <b v="1"/>
    <n v="7"/>
    <n v="10"/>
  </r>
  <r>
    <s v="TASK0016"/>
    <s v="Data Migration"/>
    <s v="Maria Harris"/>
    <x v="1"/>
    <d v="2026-02-17T00:00:00"/>
    <d v="2026-02-27T00:00:00"/>
    <d v="2026-03-01T00:00:00"/>
    <s v="Completed"/>
    <s v="High"/>
    <b v="1"/>
    <n v="2"/>
    <n v="9"/>
  </r>
  <r>
    <s v="TASK0017"/>
    <s v="Vendor Evaluation"/>
    <s v="James Anderson"/>
    <x v="2"/>
    <d v="2025-07-04T00:00:00"/>
    <d v="2025-07-17T00:00:00"/>
    <m/>
    <s v="Overdue"/>
    <s v="Medium"/>
    <b v="1"/>
    <n v="8"/>
    <n v="10"/>
  </r>
  <r>
    <s v="TASK0018"/>
    <s v="Budget Review"/>
    <s v="Maria Harris"/>
    <x v="1"/>
    <d v="2025-12-14T00:00:00"/>
    <d v="2026-01-05T00:00:00"/>
    <d v="2026-01-09T00:00:00"/>
    <s v="Completed"/>
    <s v="High"/>
    <b v="1"/>
    <n v="4"/>
    <n v="2"/>
  </r>
  <r>
    <s v="TASK0019"/>
    <s v="Team Meeting"/>
    <s v="Grace Chen"/>
    <x v="0"/>
    <d v="2025-08-12T00:00:00"/>
    <d v="2025-09-02T00:00:00"/>
    <d v="2025-09-04T00:00:00"/>
    <s v="Completed"/>
    <s v="High"/>
    <b v="1"/>
    <n v="2"/>
    <n v="10"/>
  </r>
  <r>
    <s v="TASK0020"/>
    <s v="Contract Negotiation"/>
    <s v="Grace Chen"/>
    <x v="0"/>
    <d v="2025-10-01T00:00:00"/>
    <d v="2025-10-13T00:00:00"/>
    <d v="2025-10-20T00:00:00"/>
    <s v="Completed"/>
    <s v="High"/>
    <b v="1"/>
    <n v="7"/>
    <n v="7"/>
  </r>
  <r>
    <s v="TASK0021"/>
    <s v="Code Review"/>
    <s v="Bob Martinez"/>
    <x v="0"/>
    <d v="2025-08-11T00:00:00"/>
    <d v="2025-09-01T00:00:00"/>
    <m/>
    <s v="Cancelled"/>
    <s v="High"/>
    <b v="0"/>
    <n v="0"/>
    <n v="4"/>
  </r>
  <r>
    <s v="TASK0022"/>
    <s v="Data Migration"/>
    <s v="Grace Chen"/>
    <x v="0"/>
    <d v="2025-11-19T00:00:00"/>
    <d v="2025-12-13T00:00:00"/>
    <m/>
    <s v="Overdue"/>
    <s v="Low"/>
    <b v="1"/>
    <n v="9"/>
    <n v="3"/>
  </r>
  <r>
    <s v="TASK0023"/>
    <s v="System Upgrade"/>
    <s v="Liam Jackson"/>
    <x v="0"/>
    <d v="2025-07-25T00:00:00"/>
    <d v="2025-08-16T00:00:00"/>
    <m/>
    <s v="Cancelled"/>
    <s v="Critical"/>
    <b v="0"/>
    <n v="0"/>
    <n v="3"/>
  </r>
  <r>
    <s v="TASK0024"/>
    <s v="Team Meeting"/>
    <s v="David Lee"/>
    <x v="4"/>
    <d v="2025-07-28T00:00:00"/>
    <d v="2025-08-23T00:00:00"/>
    <m/>
    <s v="In Progress"/>
    <s v="High"/>
    <b v="0"/>
    <n v="0"/>
    <n v="6"/>
  </r>
  <r>
    <s v="TASK0025"/>
    <s v="Compliance Audit"/>
    <s v="Alice Johnson"/>
    <x v="3"/>
    <d v="2025-10-10T00:00:00"/>
    <d v="2025-10-16T00:00:00"/>
    <d v="2025-10-19T00:00:00"/>
    <s v="Completed"/>
    <s v="Medium"/>
    <b v="1"/>
    <n v="3"/>
    <n v="8"/>
  </r>
  <r>
    <s v="TASK0026"/>
    <s v="Dashboard Setup"/>
    <s v="Bob Martinez"/>
    <x v="0"/>
    <d v="2025-01-19T00:00:00"/>
    <d v="2025-01-26T00:00:00"/>
    <d v="2025-01-28T00:00:00"/>
    <s v="Completed"/>
    <s v="Critical"/>
    <b v="1"/>
    <n v="2"/>
    <n v="7"/>
  </r>
  <r>
    <s v="TASK0027"/>
    <s v="Team Meeting"/>
    <s v="Carol White"/>
    <x v="1"/>
    <d v="2025-09-22T00:00:00"/>
    <d v="2025-10-16T00:00:00"/>
    <d v="2025-10-15T00:00:00"/>
    <s v="Completed"/>
    <s v="High"/>
    <b v="0"/>
    <n v="0"/>
    <n v="4"/>
  </r>
  <r>
    <s v="TASK0028"/>
    <s v="Contract Negotiation"/>
    <s v="Emma Brown"/>
    <x v="2"/>
    <d v="2025-09-23T00:00:00"/>
    <d v="2025-10-03T00:00:00"/>
    <d v="2025-10-01T00:00:00"/>
    <s v="Completed"/>
    <s v="Medium"/>
    <b v="0"/>
    <n v="0"/>
    <n v="10"/>
  </r>
  <r>
    <s v="TASK0029"/>
    <s v="Budget Review"/>
    <s v="Carol White"/>
    <x v="1"/>
    <d v="2025-02-07T00:00:00"/>
    <d v="2025-02-17T00:00:00"/>
    <m/>
    <s v="Overdue"/>
    <s v="Medium"/>
    <b v="1"/>
    <n v="10"/>
    <n v="10"/>
  </r>
  <r>
    <s v="TASK0030"/>
    <s v="Product Launch"/>
    <s v="Karen Thomas"/>
    <x v="3"/>
    <d v="2025-08-02T00:00:00"/>
    <d v="2025-08-26T00:00:00"/>
    <m/>
    <s v="In Progress"/>
    <s v="Low"/>
    <b v="0"/>
    <n v="0"/>
    <n v="5"/>
  </r>
  <r>
    <s v="TASK0031"/>
    <s v="Process Improvement"/>
    <s v="Emma Brown"/>
    <x v="2"/>
    <d v="2025-05-09T00:00:00"/>
    <d v="2025-05-12T00:00:00"/>
    <d v="2025-05-13T00:00:00"/>
    <s v="Completed"/>
    <s v="High"/>
    <b v="1"/>
    <n v="1"/>
    <n v="9"/>
  </r>
  <r>
    <s v="TASK0032"/>
    <s v="Training Session"/>
    <s v="Maria Harris"/>
    <x v="1"/>
    <d v="2025-05-23T00:00:00"/>
    <d v="2025-05-28T00:00:00"/>
    <d v="2025-06-01T00:00:00"/>
    <s v="Completed"/>
    <s v="Low"/>
    <b v="1"/>
    <n v="4"/>
    <n v="4"/>
  </r>
  <r>
    <s v="TASK0033"/>
    <s v="Security Patch"/>
    <s v="Karen Thomas"/>
    <x v="3"/>
    <d v="2026-02-27T00:00:00"/>
    <d v="2026-03-22T00:00:00"/>
    <m/>
    <s v="In Progress"/>
    <s v="High"/>
    <b v="0"/>
    <n v="0"/>
    <n v="8"/>
  </r>
  <r>
    <s v="TASK0034"/>
    <s v="Client Presentation"/>
    <s v="Emma Brown"/>
    <x v="2"/>
    <d v="2025-01-17T00:00:00"/>
    <d v="2025-01-23T00:00:00"/>
    <d v="2025-01-26T00:00:00"/>
    <s v="Completed"/>
    <s v="Low"/>
    <b v="1"/>
    <n v="3"/>
    <n v="2"/>
  </r>
  <r>
    <s v="TASK0035"/>
    <s v="Market Analysis"/>
    <s v="Isabella Taylor"/>
    <x v="4"/>
    <d v="2025-05-23T00:00:00"/>
    <d v="2025-05-31T00:00:00"/>
    <m/>
    <s v="Overdue"/>
    <s v="Low"/>
    <b v="1"/>
    <n v="19"/>
    <n v="4"/>
  </r>
  <r>
    <s v="TASK0036"/>
    <s v="Market Analysis"/>
    <s v="James Anderson"/>
    <x v="2"/>
    <d v="2026-02-26T00:00:00"/>
    <d v="2026-03-05T00:00:00"/>
    <d v="2026-03-04T00:00:00"/>
    <s v="Completed"/>
    <s v="Medium"/>
    <b v="0"/>
    <n v="0"/>
    <n v="3"/>
  </r>
  <r>
    <s v="TASK0037"/>
    <s v="Team Meeting"/>
    <s v="Henry Davis"/>
    <x v="1"/>
    <d v="2026-02-06T00:00:00"/>
    <d v="2026-02-11T00:00:00"/>
    <m/>
    <s v="Cancelled"/>
    <s v="Medium"/>
    <b v="0"/>
    <n v="0"/>
    <n v="1"/>
  </r>
  <r>
    <s v="TASK0038"/>
    <s v="Product Launch"/>
    <s v="Liam Jackson"/>
    <x v="0"/>
    <d v="2025-07-31T00:00:00"/>
    <d v="2025-08-11T00:00:00"/>
    <m/>
    <s v="Overdue"/>
    <s v="Low"/>
    <b v="1"/>
    <n v="1"/>
    <n v="2"/>
  </r>
  <r>
    <s v="TASK0039"/>
    <s v="Budget Review"/>
    <s v="Liam Jackson"/>
    <x v="0"/>
    <d v="2025-11-28T00:00:00"/>
    <d v="2025-12-21T00:00:00"/>
    <d v="2025-12-22T00:00:00"/>
    <s v="Completed"/>
    <s v="Medium"/>
    <b v="1"/>
    <n v="1"/>
    <n v="9"/>
  </r>
  <r>
    <s v="TASK0040"/>
    <s v="System Upgrade"/>
    <s v="David Lee"/>
    <x v="4"/>
    <d v="2025-01-31T00:00:00"/>
    <d v="2025-02-25T00:00:00"/>
    <d v="2025-03-03T00:00:00"/>
    <s v="Completed"/>
    <s v="Low"/>
    <b v="1"/>
    <n v="6"/>
    <n v="1"/>
  </r>
  <r>
    <s v="TASK0041"/>
    <s v="Stakeholder Report"/>
    <s v="Carol White"/>
    <x v="1"/>
    <d v="2025-01-21T00:00:00"/>
    <d v="2025-01-29T00:00:00"/>
    <m/>
    <s v="In Progress"/>
    <s v="High"/>
    <b v="0"/>
    <n v="0"/>
    <n v="8"/>
  </r>
  <r>
    <s v="TASK0042"/>
    <s v="Risk Assessment"/>
    <s v="Emma Brown"/>
    <x v="2"/>
    <d v="2025-08-14T00:00:00"/>
    <d v="2025-08-28T00:00:00"/>
    <m/>
    <s v="Cancelled"/>
    <s v="Medium"/>
    <b v="0"/>
    <n v="0"/>
    <n v="4"/>
  </r>
  <r>
    <s v="TASK0043"/>
    <s v="System Upgrade"/>
    <s v="Carol White"/>
    <x v="1"/>
    <d v="2025-01-09T00:00:00"/>
    <d v="2025-01-30T00:00:00"/>
    <d v="2025-02-06T00:00:00"/>
    <s v="Completed"/>
    <s v="Critical"/>
    <b v="1"/>
    <n v="7"/>
    <n v="3"/>
  </r>
  <r>
    <s v="TASK0044"/>
    <s v="Training Session"/>
    <s v="Bob Martinez"/>
    <x v="0"/>
    <d v="2025-07-07T00:00:00"/>
    <d v="2025-07-15T00:00:00"/>
    <m/>
    <s v="In Progress"/>
    <s v="Medium"/>
    <b v="0"/>
    <n v="0"/>
    <n v="8"/>
  </r>
  <r>
    <s v="TASK0045"/>
    <s v="Policy Update"/>
    <s v="Maria Harris"/>
    <x v="1"/>
    <d v="2025-02-28T00:00:00"/>
    <d v="2025-03-14T00:00:00"/>
    <m/>
    <s v="Overdue"/>
    <s v="Medium"/>
    <b v="1"/>
    <n v="3"/>
    <n v="9"/>
  </r>
  <r>
    <s v="TASK0046"/>
    <s v="System Upgrade"/>
    <s v="Isabella Taylor"/>
    <x v="4"/>
    <d v="2025-08-08T00:00:00"/>
    <d v="2025-08-24T00:00:00"/>
    <d v="2025-08-28T00:00:00"/>
    <s v="Completed"/>
    <s v="High"/>
    <b v="1"/>
    <n v="4"/>
    <n v="10"/>
  </r>
  <r>
    <s v="TASK0047"/>
    <s v="Risk Assessment"/>
    <s v="Emma Brown"/>
    <x v="2"/>
    <d v="2025-01-12T00:00:00"/>
    <d v="2025-01-31T00:00:00"/>
    <m/>
    <s v="Cancelled"/>
    <s v="High"/>
    <b v="0"/>
    <n v="0"/>
    <n v="10"/>
  </r>
  <r>
    <s v="TASK0048"/>
    <s v="System Upgrade"/>
    <s v="Isabella Taylor"/>
    <x v="4"/>
    <d v="2025-12-03T00:00:00"/>
    <d v="2025-12-17T00:00:00"/>
    <d v="2025-12-15T00:00:00"/>
    <s v="Completed"/>
    <s v="Medium"/>
    <b v="0"/>
    <n v="0"/>
    <n v="8"/>
  </r>
  <r>
    <s v="TASK0049"/>
    <s v="Policy Update"/>
    <s v="Olivia Lewis"/>
    <x v="2"/>
    <d v="2025-07-14T00:00:00"/>
    <d v="2025-07-29T00:00:00"/>
    <m/>
    <s v="Cancelled"/>
    <s v="Medium"/>
    <b v="0"/>
    <n v="0"/>
    <n v="8"/>
  </r>
  <r>
    <s v="TASK0050"/>
    <s v="Data Migration"/>
    <s v="James Anderson"/>
    <x v="2"/>
    <d v="2026-01-09T00:00:00"/>
    <d v="2026-01-18T00:00:00"/>
    <d v="2026-01-23T00:00:00"/>
    <s v="Completed"/>
    <s v="Critical"/>
    <b v="1"/>
    <n v="5"/>
    <n v="8"/>
  </r>
  <r>
    <s v="TASK0051"/>
    <s v="Code Review"/>
    <s v="Grace Chen"/>
    <x v="0"/>
    <d v="2026-01-26T00:00:00"/>
    <d v="2026-02-18T00:00:00"/>
    <m/>
    <s v="In Progress"/>
    <s v="Medium"/>
    <b v="0"/>
    <n v="0"/>
    <n v="3"/>
  </r>
  <r>
    <s v="TASK0052"/>
    <s v="Process Improvement"/>
    <s v="James Anderson"/>
    <x v="2"/>
    <d v="2025-02-21T00:00:00"/>
    <d v="2025-03-13T00:00:00"/>
    <d v="2025-03-20T00:00:00"/>
    <s v="Completed"/>
    <s v="Medium"/>
    <b v="1"/>
    <n v="7"/>
    <n v="10"/>
  </r>
  <r>
    <s v="TASK0053"/>
    <s v="Client Presentation"/>
    <s v="Nathan Clark"/>
    <x v="4"/>
    <d v="2026-03-24T00:00:00"/>
    <d v="2026-04-16T00:00:00"/>
    <d v="2026-04-22T00:00:00"/>
    <s v="Completed"/>
    <s v="Medium"/>
    <b v="1"/>
    <n v="6"/>
    <n v="3"/>
  </r>
  <r>
    <s v="TASK0054"/>
    <s v="Training Session"/>
    <s v="Maria Harris"/>
    <x v="1"/>
    <d v="2025-06-11T00:00:00"/>
    <d v="2025-06-17T00:00:00"/>
    <d v="2025-06-16T00:00:00"/>
    <s v="Completed"/>
    <s v="High"/>
    <b v="0"/>
    <n v="0"/>
    <n v="5"/>
  </r>
  <r>
    <s v="TASK0055"/>
    <s v="Code Review"/>
    <s v="Maria Harris"/>
    <x v="1"/>
    <d v="2025-09-27T00:00:00"/>
    <d v="2025-10-04T00:00:00"/>
    <d v="2025-10-03T00:00:00"/>
    <s v="Completed"/>
    <s v="High"/>
    <b v="0"/>
    <n v="0"/>
    <n v="10"/>
  </r>
  <r>
    <s v="TASK0056"/>
    <s v="Quarterly Report"/>
    <s v="Emma Brown"/>
    <x v="2"/>
    <d v="2025-11-16T00:00:00"/>
    <d v="2025-11-20T00:00:00"/>
    <d v="2025-11-19T00:00:00"/>
    <s v="Completed"/>
    <s v="High"/>
    <b v="0"/>
    <n v="0"/>
    <n v="6"/>
  </r>
  <r>
    <s v="TASK0057"/>
    <s v="Vendor Evaluation"/>
    <s v="Carol White"/>
    <x v="1"/>
    <d v="2025-12-28T00:00:00"/>
    <d v="2026-01-10T00:00:00"/>
    <m/>
    <s v="In Progress"/>
    <s v="Critical"/>
    <b v="0"/>
    <n v="0"/>
    <n v="6"/>
  </r>
  <r>
    <s v="TASK0058"/>
    <s v="Dashboard Setup"/>
    <s v="Maria Harris"/>
    <x v="1"/>
    <d v="2026-01-19T00:00:00"/>
    <d v="2026-02-05T00:00:00"/>
    <m/>
    <s v="Overdue"/>
    <s v="Medium"/>
    <b v="1"/>
    <n v="1"/>
    <n v="4"/>
  </r>
  <r>
    <s v="TASK0059"/>
    <s v="Contract Negotiation"/>
    <s v="Henry Davis"/>
    <x v="1"/>
    <d v="2025-09-15T00:00:00"/>
    <d v="2025-10-13T00:00:00"/>
    <d v="2025-10-15T00:00:00"/>
    <s v="Completed"/>
    <s v="High"/>
    <b v="1"/>
    <n v="2"/>
    <n v="2"/>
  </r>
  <r>
    <s v="TASK0060"/>
    <s v="Stakeholder Report"/>
    <s v="Emma Brown"/>
    <x v="2"/>
    <d v="2025-02-15T00:00:00"/>
    <d v="2025-02-20T00:00:00"/>
    <d v="2025-02-26T00:00:00"/>
    <s v="Completed"/>
    <s v="High"/>
    <b v="1"/>
    <n v="6"/>
    <n v="1"/>
  </r>
  <r>
    <s v="TASK0061"/>
    <s v="Policy Update"/>
    <s v="Bob Martinez"/>
    <x v="0"/>
    <d v="2026-01-15T00:00:00"/>
    <d v="2026-02-08T00:00:00"/>
    <d v="2026-02-15T00:00:00"/>
    <s v="Completed"/>
    <s v="Low"/>
    <b v="1"/>
    <n v="7"/>
    <n v="1"/>
  </r>
  <r>
    <s v="TASK0062"/>
    <s v="Contract Negotiation"/>
    <s v="David Lee"/>
    <x v="4"/>
    <d v="2025-10-17T00:00:00"/>
    <d v="2025-11-05T00:00:00"/>
    <m/>
    <s v="Overdue"/>
    <s v="Low"/>
    <b v="1"/>
    <n v="15"/>
    <n v="10"/>
  </r>
  <r>
    <s v="TASK0063"/>
    <s v="Market Analysis"/>
    <s v="Liam Jackson"/>
    <x v="0"/>
    <d v="2026-01-21T00:00:00"/>
    <d v="2026-02-15T00:00:00"/>
    <d v="2026-02-17T00:00:00"/>
    <s v="Completed"/>
    <s v="Medium"/>
    <b v="1"/>
    <n v="2"/>
    <n v="2"/>
  </r>
  <r>
    <s v="TASK0064"/>
    <s v="Budget Review"/>
    <s v="Liam Jackson"/>
    <x v="0"/>
    <d v="2025-03-04T00:00:00"/>
    <d v="2025-03-18T00:00:00"/>
    <d v="2025-03-20T00:00:00"/>
    <s v="Completed"/>
    <s v="Medium"/>
    <b v="1"/>
    <n v="2"/>
    <n v="4"/>
  </r>
  <r>
    <s v="TASK0065"/>
    <s v="Product Launch"/>
    <s v="Carol White"/>
    <x v="1"/>
    <d v="2025-06-14T00:00:00"/>
    <d v="2025-07-06T00:00:00"/>
    <d v="2025-07-07T00:00:00"/>
    <s v="Completed"/>
    <s v="High"/>
    <b v="1"/>
    <n v="1"/>
    <n v="5"/>
  </r>
  <r>
    <s v="TASK0066"/>
    <s v="Dashboard Setup"/>
    <s v="Grace Chen"/>
    <x v="0"/>
    <d v="2026-03-03T00:00:00"/>
    <d v="2026-03-24T00:00:00"/>
    <d v="2026-03-31T00:00:00"/>
    <s v="Completed"/>
    <s v="Medium"/>
    <b v="1"/>
    <n v="7"/>
    <n v="4"/>
  </r>
  <r>
    <s v="TASK0067"/>
    <s v="Market Analysis"/>
    <s v="Maria Harris"/>
    <x v="1"/>
    <d v="2026-01-17T00:00:00"/>
    <d v="2026-02-02T00:00:00"/>
    <d v="2026-02-06T00:00:00"/>
    <s v="Completed"/>
    <s v="High"/>
    <b v="1"/>
    <n v="4"/>
    <n v="5"/>
  </r>
  <r>
    <s v="TASK0068"/>
    <s v="Budget Review"/>
    <s v="David Lee"/>
    <x v="4"/>
    <d v="2025-05-10T00:00:00"/>
    <d v="2025-05-17T00:00:00"/>
    <m/>
    <s v="In Progress"/>
    <s v="Medium"/>
    <b v="0"/>
    <n v="0"/>
    <n v="9"/>
  </r>
  <r>
    <s v="TASK0069"/>
    <s v="Stakeholder Report"/>
    <s v="Liam Jackson"/>
    <x v="0"/>
    <d v="2026-02-18T00:00:00"/>
    <d v="2026-02-24T00:00:00"/>
    <m/>
    <s v="In Progress"/>
    <s v="High"/>
    <b v="0"/>
    <n v="0"/>
    <n v="6"/>
  </r>
  <r>
    <s v="TASK0070"/>
    <s v="Training Session"/>
    <s v="Olivia Lewis"/>
    <x v="2"/>
    <d v="2025-02-08T00:00:00"/>
    <d v="2025-02-25T00:00:00"/>
    <m/>
    <s v="In Progress"/>
    <s v="Critical"/>
    <b v="0"/>
    <n v="0"/>
    <n v="7"/>
  </r>
  <r>
    <s v="TASK0071"/>
    <s v="Policy Update"/>
    <s v="Olivia Lewis"/>
    <x v="2"/>
    <d v="2025-07-03T00:00:00"/>
    <d v="2025-07-22T00:00:00"/>
    <m/>
    <s v="Cancelled"/>
    <s v="High"/>
    <b v="0"/>
    <n v="0"/>
    <n v="2"/>
  </r>
  <r>
    <s v="TASK0072"/>
    <s v="Budget Review"/>
    <s v="Grace Chen"/>
    <x v="0"/>
    <d v="2025-04-25T00:00:00"/>
    <d v="2025-05-17T00:00:00"/>
    <m/>
    <s v="Cancelled"/>
    <s v="Medium"/>
    <b v="0"/>
    <n v="0"/>
    <n v="8"/>
  </r>
  <r>
    <s v="TASK0073"/>
    <s v="Team Meeting"/>
    <s v="Isabella Taylor"/>
    <x v="4"/>
    <d v="2025-02-28T00:00:00"/>
    <d v="2025-03-18T00:00:00"/>
    <m/>
    <s v="In Progress"/>
    <s v="Critical"/>
    <b v="0"/>
    <n v="0"/>
    <n v="2"/>
  </r>
  <r>
    <s v="TASK0074"/>
    <s v="Security Patch"/>
    <s v="Alice Johnson"/>
    <x v="3"/>
    <d v="2025-12-10T00:00:00"/>
    <d v="2026-01-06T00:00:00"/>
    <d v="2026-01-11T00:00:00"/>
    <s v="Completed"/>
    <s v="Medium"/>
    <b v="1"/>
    <n v="5"/>
    <n v="6"/>
  </r>
  <r>
    <s v="TASK0075"/>
    <s v="Policy Update"/>
    <s v="Henry Davis"/>
    <x v="1"/>
    <d v="2025-02-23T00:00:00"/>
    <d v="2025-03-19T00:00:00"/>
    <m/>
    <s v="Cancelled"/>
    <s v="Medium"/>
    <b v="0"/>
    <n v="0"/>
    <n v="5"/>
  </r>
  <r>
    <s v="TASK0076"/>
    <s v="Process Improvement"/>
    <s v="Bob Martinez"/>
    <x v="0"/>
    <d v="2026-02-19T00:00:00"/>
    <d v="2026-03-14T00:00:00"/>
    <m/>
    <s v="In Progress"/>
    <s v="Critical"/>
    <b v="0"/>
    <n v="0"/>
    <n v="8"/>
  </r>
  <r>
    <s v="TASK0077"/>
    <s v="Policy Update"/>
    <s v="David Lee"/>
    <x v="4"/>
    <d v="2025-12-10T00:00:00"/>
    <d v="2025-12-30T00:00:00"/>
    <m/>
    <s v="Overdue"/>
    <s v="High"/>
    <b v="1"/>
    <n v="6"/>
    <n v="7"/>
  </r>
  <r>
    <s v="TASK0078"/>
    <s v="Market Analysis"/>
    <s v="Liam Jackson"/>
    <x v="0"/>
    <d v="2025-03-08T00:00:00"/>
    <d v="2025-03-13T00:00:00"/>
    <d v="2025-03-20T00:00:00"/>
    <s v="Completed"/>
    <s v="High"/>
    <b v="1"/>
    <n v="7"/>
    <n v="4"/>
  </r>
  <r>
    <s v="TASK0079"/>
    <s v="Team Meeting"/>
    <s v="Isabella Taylor"/>
    <x v="4"/>
    <d v="2025-09-06T00:00:00"/>
    <d v="2025-10-04T00:00:00"/>
    <m/>
    <s v="In Progress"/>
    <s v="High"/>
    <b v="0"/>
    <n v="0"/>
    <n v="5"/>
  </r>
  <r>
    <s v="TASK0080"/>
    <s v="Performance Review"/>
    <s v="Olivia Lewis"/>
    <x v="2"/>
    <d v="2025-10-21T00:00:00"/>
    <d v="2025-11-19T00:00:00"/>
    <d v="2025-11-17T00:00:00"/>
    <s v="Completed"/>
    <s v="Medium"/>
    <b v="0"/>
    <n v="0"/>
    <n v="2"/>
  </r>
  <r>
    <s v="TASK0081"/>
    <s v="Stakeholder Report"/>
    <s v="Karen Thomas"/>
    <x v="3"/>
    <d v="2026-01-31T00:00:00"/>
    <d v="2026-02-20T00:00:00"/>
    <d v="2026-02-19T00:00:00"/>
    <s v="Completed"/>
    <s v="Low"/>
    <b v="0"/>
    <n v="0"/>
    <n v="3"/>
  </r>
  <r>
    <s v="TASK0082"/>
    <s v="Quarterly Report"/>
    <s v="Bob Martinez"/>
    <x v="0"/>
    <d v="2025-02-13T00:00:00"/>
    <d v="2025-02-28T00:00:00"/>
    <m/>
    <s v="In Progress"/>
    <s v="Medium"/>
    <b v="0"/>
    <n v="0"/>
    <n v="6"/>
  </r>
  <r>
    <s v="TASK0083"/>
    <s v="Compliance Audit"/>
    <s v="Karen Thomas"/>
    <x v="3"/>
    <d v="2025-07-19T00:00:00"/>
    <d v="2025-07-22T00:00:00"/>
    <d v="2025-07-23T00:00:00"/>
    <s v="Completed"/>
    <s v="High"/>
    <b v="1"/>
    <n v="1"/>
    <n v="9"/>
  </r>
  <r>
    <s v="TASK0084"/>
    <s v="Performance Review"/>
    <s v="Henry Davis"/>
    <x v="1"/>
    <d v="2026-03-25T00:00:00"/>
    <d v="2026-03-29T00:00:00"/>
    <d v="2026-04-04T00:00:00"/>
    <s v="Completed"/>
    <s v="Medium"/>
    <b v="1"/>
    <n v="6"/>
    <n v="10"/>
  </r>
  <r>
    <s v="TASK0085"/>
    <s v="Vendor Evaluation"/>
    <s v="Karen Thomas"/>
    <x v="3"/>
    <d v="2026-03-26T00:00:00"/>
    <d v="2026-03-29T00:00:00"/>
    <d v="2026-04-02T00:00:00"/>
    <s v="Completed"/>
    <s v="Low"/>
    <b v="1"/>
    <n v="4"/>
    <n v="3"/>
  </r>
  <r>
    <s v="TASK0086"/>
    <s v="Stakeholder Report"/>
    <s v="Carol White"/>
    <x v="1"/>
    <d v="2025-01-14T00:00:00"/>
    <d v="2025-01-23T00:00:00"/>
    <m/>
    <s v="Overdue"/>
    <s v="Critical"/>
    <b v="1"/>
    <n v="5"/>
    <n v="7"/>
  </r>
  <r>
    <s v="TASK0087"/>
    <s v="Quarterly Report"/>
    <s v="Grace Chen"/>
    <x v="0"/>
    <d v="2026-02-14T00:00:00"/>
    <d v="2026-02-24T00:00:00"/>
    <d v="2026-02-28T00:00:00"/>
    <s v="Completed"/>
    <s v="Medium"/>
    <b v="1"/>
    <n v="4"/>
    <n v="2"/>
  </r>
  <r>
    <s v="TASK0088"/>
    <s v="Policy Update"/>
    <s v="Nathan Clark"/>
    <x v="4"/>
    <d v="2025-09-30T00:00:00"/>
    <d v="2025-10-29T00:00:00"/>
    <d v="2025-11-04T00:00:00"/>
    <s v="Completed"/>
    <s v="Critical"/>
    <b v="1"/>
    <n v="6"/>
    <n v="1"/>
  </r>
  <r>
    <s v="TASK0089"/>
    <s v="Vendor Evaluation"/>
    <s v="Olivia Lewis"/>
    <x v="2"/>
    <d v="2025-12-27T00:00:00"/>
    <d v="2026-01-25T00:00:00"/>
    <d v="2026-02-01T00:00:00"/>
    <s v="Completed"/>
    <s v="Low"/>
    <b v="1"/>
    <n v="7"/>
    <n v="3"/>
  </r>
  <r>
    <s v="TASK0090"/>
    <s v="Process Improvement"/>
    <s v="Bob Martinez"/>
    <x v="0"/>
    <d v="2025-01-19T00:00:00"/>
    <d v="2025-02-03T00:00:00"/>
    <m/>
    <s v="Overdue"/>
    <s v="Medium"/>
    <b v="1"/>
    <n v="4"/>
    <n v="8"/>
  </r>
  <r>
    <s v="TASK0091"/>
    <s v="Product Launch"/>
    <s v="Bob Martinez"/>
    <x v="0"/>
    <d v="2025-10-11T00:00:00"/>
    <d v="2025-10-16T00:00:00"/>
    <m/>
    <s v="Overdue"/>
    <s v="Medium"/>
    <b v="1"/>
    <n v="17"/>
    <n v="2"/>
  </r>
  <r>
    <s v="TASK0092"/>
    <s v="Quarterly Report"/>
    <s v="Grace Chen"/>
    <x v="0"/>
    <d v="2025-05-02T00:00:00"/>
    <d v="2025-05-07T00:00:00"/>
    <d v="2025-05-12T00:00:00"/>
    <s v="Completed"/>
    <s v="Medium"/>
    <b v="1"/>
    <n v="5"/>
    <n v="2"/>
  </r>
  <r>
    <s v="TASK0093"/>
    <s v="Budget Review"/>
    <s v="Henry Davis"/>
    <x v="1"/>
    <d v="2025-10-05T00:00:00"/>
    <d v="2025-10-08T00:00:00"/>
    <d v="2025-10-06T00:00:00"/>
    <s v="Completed"/>
    <s v="Medium"/>
    <b v="0"/>
    <n v="0"/>
    <n v="10"/>
  </r>
  <r>
    <s v="TASK0094"/>
    <s v="Performance Review"/>
    <s v="David Lee"/>
    <x v="4"/>
    <d v="2025-02-11T00:00:00"/>
    <d v="2025-03-06T00:00:00"/>
    <d v="2025-03-05T00:00:00"/>
    <s v="Completed"/>
    <s v="Medium"/>
    <b v="0"/>
    <n v="0"/>
    <n v="9"/>
  </r>
  <r>
    <s v="TASK0095"/>
    <s v="Data Migration"/>
    <s v="Frank Wilson"/>
    <x v="3"/>
    <d v="2025-10-14T00:00:00"/>
    <d v="2025-11-09T00:00:00"/>
    <m/>
    <s v="Overdue"/>
    <s v="Medium"/>
    <b v="1"/>
    <n v="11"/>
    <n v="10"/>
  </r>
  <r>
    <s v="TASK0096"/>
    <s v="Process Improvement"/>
    <s v="Grace Chen"/>
    <x v="0"/>
    <d v="2025-09-18T00:00:00"/>
    <d v="2025-10-05T00:00:00"/>
    <d v="2025-10-09T00:00:00"/>
    <s v="Completed"/>
    <s v="Low"/>
    <b v="1"/>
    <n v="4"/>
    <n v="2"/>
  </r>
  <r>
    <s v="TASK0097"/>
    <s v="Risk Assessment"/>
    <s v="David Lee"/>
    <x v="4"/>
    <d v="2025-08-17T00:00:00"/>
    <d v="2025-09-07T00:00:00"/>
    <d v="2025-09-09T00:00:00"/>
    <s v="Completed"/>
    <s v="Low"/>
    <b v="1"/>
    <n v="2"/>
    <n v="7"/>
  </r>
  <r>
    <s v="TASK0098"/>
    <s v="Code Review"/>
    <s v="Nathan Clark"/>
    <x v="4"/>
    <d v="2025-05-06T00:00:00"/>
    <d v="2025-05-11T00:00:00"/>
    <d v="2025-05-12T00:00:00"/>
    <s v="Completed"/>
    <s v="High"/>
    <b v="1"/>
    <n v="1"/>
    <n v="5"/>
  </r>
  <r>
    <s v="TASK0099"/>
    <s v="Market Analysis"/>
    <s v="James Anderson"/>
    <x v="2"/>
    <d v="2025-07-05T00:00:00"/>
    <d v="2025-07-12T00:00:00"/>
    <m/>
    <s v="In Progress"/>
    <s v="Medium"/>
    <b v="0"/>
    <n v="0"/>
    <n v="5"/>
  </r>
  <r>
    <s v="TASK0100"/>
    <s v="Compliance Audit"/>
    <s v="Grace Chen"/>
    <x v="0"/>
    <d v="2026-02-19T00:00:00"/>
    <d v="2026-02-22T00:00:00"/>
    <m/>
    <s v="In Progress"/>
    <s v="High"/>
    <b v="0"/>
    <n v="0"/>
    <n v="7"/>
  </r>
  <r>
    <s v="TASK0101"/>
    <s v="Budget Review"/>
    <s v="Emma Brown"/>
    <x v="2"/>
    <d v="2025-09-15T00:00:00"/>
    <d v="2025-09-27T00:00:00"/>
    <d v="2025-09-30T00:00:00"/>
    <s v="Completed"/>
    <s v="Medium"/>
    <b v="1"/>
    <n v="3"/>
    <n v="5"/>
  </r>
  <r>
    <s v="TASK0102"/>
    <s v="Contract Negotiation"/>
    <s v="Isabella Taylor"/>
    <x v="4"/>
    <d v="2025-05-23T00:00:00"/>
    <d v="2025-06-01T00:00:00"/>
    <m/>
    <s v="In Progress"/>
    <s v="Medium"/>
    <b v="0"/>
    <n v="0"/>
    <n v="8"/>
  </r>
  <r>
    <s v="TASK0103"/>
    <s v="Contract Negotiation"/>
    <s v="Liam Jackson"/>
    <x v="0"/>
    <d v="2025-08-25T00:00:00"/>
    <d v="2025-09-06T00:00:00"/>
    <d v="2025-09-13T00:00:00"/>
    <s v="Completed"/>
    <s v="Medium"/>
    <b v="1"/>
    <n v="7"/>
    <n v="6"/>
  </r>
  <r>
    <s v="TASK0104"/>
    <s v="Code Review"/>
    <s v="Henry Davis"/>
    <x v="1"/>
    <d v="2026-01-18T00:00:00"/>
    <d v="2026-02-03T00:00:00"/>
    <m/>
    <s v="Overdue"/>
    <s v="Medium"/>
    <b v="1"/>
    <n v="14"/>
    <n v="2"/>
  </r>
  <r>
    <s v="TASK0105"/>
    <s v="Policy Update"/>
    <s v="Henry Davis"/>
    <x v="1"/>
    <d v="2025-06-22T00:00:00"/>
    <d v="2025-07-08T00:00:00"/>
    <d v="2025-07-06T00:00:00"/>
    <s v="Completed"/>
    <s v="Medium"/>
    <b v="0"/>
    <n v="0"/>
    <n v="6"/>
  </r>
  <r>
    <s v="TASK0106"/>
    <s v="Budget Review"/>
    <s v="Bob Martinez"/>
    <x v="0"/>
    <d v="2025-02-04T00:00:00"/>
    <d v="2025-02-14T00:00:00"/>
    <m/>
    <s v="Overdue"/>
    <s v="Critical"/>
    <b v="1"/>
    <n v="11"/>
    <n v="9"/>
  </r>
  <r>
    <s v="TASK0107"/>
    <s v="Security Patch"/>
    <s v="Frank Wilson"/>
    <x v="3"/>
    <d v="2026-02-11T00:00:00"/>
    <d v="2026-02-14T00:00:00"/>
    <d v="2026-02-16T00:00:00"/>
    <s v="Completed"/>
    <s v="High"/>
    <b v="1"/>
    <n v="2"/>
    <n v="1"/>
  </r>
  <r>
    <s v="TASK0108"/>
    <s v="Team Meeting"/>
    <s v="Maria Harris"/>
    <x v="1"/>
    <d v="2025-04-18T00:00:00"/>
    <d v="2025-05-07T00:00:00"/>
    <d v="2025-05-11T00:00:00"/>
    <s v="Completed"/>
    <s v="Low"/>
    <b v="1"/>
    <n v="4"/>
    <n v="8"/>
  </r>
  <r>
    <s v="TASK0109"/>
    <s v="Market Analysis"/>
    <s v="Bob Martinez"/>
    <x v="0"/>
    <d v="2025-07-22T00:00:00"/>
    <d v="2025-08-14T00:00:00"/>
    <m/>
    <s v="Cancelled"/>
    <s v="High"/>
    <b v="0"/>
    <n v="0"/>
    <n v="1"/>
  </r>
  <r>
    <s v="TASK0110"/>
    <s v="Dashboard Setup"/>
    <s v="Grace Chen"/>
    <x v="0"/>
    <d v="2025-06-24T00:00:00"/>
    <d v="2025-07-21T00:00:00"/>
    <m/>
    <s v="In Progress"/>
    <s v="Medium"/>
    <b v="0"/>
    <n v="0"/>
    <n v="4"/>
  </r>
  <r>
    <s v="TASK0111"/>
    <s v="Product Launch"/>
    <s v="James Anderson"/>
    <x v="2"/>
    <d v="2025-07-30T00:00:00"/>
    <d v="2025-08-06T00:00:00"/>
    <d v="2025-08-11T00:00:00"/>
    <s v="Completed"/>
    <s v="Critical"/>
    <b v="1"/>
    <n v="5"/>
    <n v="8"/>
  </r>
  <r>
    <s v="TASK0112"/>
    <s v="Training Session"/>
    <s v="Carol White"/>
    <x v="1"/>
    <d v="2025-04-01T00:00:00"/>
    <d v="2025-04-26T00:00:00"/>
    <m/>
    <s v="Cancelled"/>
    <s v="Low"/>
    <b v="0"/>
    <n v="0"/>
    <n v="10"/>
  </r>
  <r>
    <s v="TASK0113"/>
    <s v="Policy Update"/>
    <s v="Maria Harris"/>
    <x v="1"/>
    <d v="2025-06-26T00:00:00"/>
    <d v="2025-07-07T00:00:00"/>
    <d v="2025-07-05T00:00:00"/>
    <s v="Completed"/>
    <s v="High"/>
    <b v="0"/>
    <n v="0"/>
    <n v="10"/>
  </r>
  <r>
    <s v="TASK0114"/>
    <s v="Code Review"/>
    <s v="Maria Harris"/>
    <x v="1"/>
    <d v="2025-03-09T00:00:00"/>
    <d v="2025-03-20T00:00:00"/>
    <d v="2025-03-19T00:00:00"/>
    <s v="Completed"/>
    <s v="Medium"/>
    <b v="0"/>
    <n v="0"/>
    <n v="8"/>
  </r>
  <r>
    <s v="TASK0115"/>
    <s v="Team Meeting"/>
    <s v="David Lee"/>
    <x v="4"/>
    <d v="2025-05-12T00:00:00"/>
    <d v="2025-05-20T00:00:00"/>
    <d v="2025-05-22T00:00:00"/>
    <s v="Completed"/>
    <s v="Critical"/>
    <b v="1"/>
    <n v="2"/>
    <n v="10"/>
  </r>
  <r>
    <s v="TASK0116"/>
    <s v="Data Migration"/>
    <s v="Olivia Lewis"/>
    <x v="2"/>
    <d v="2025-04-20T00:00:00"/>
    <d v="2025-05-15T00:00:00"/>
    <d v="2025-05-21T00:00:00"/>
    <s v="Completed"/>
    <s v="Medium"/>
    <b v="1"/>
    <n v="6"/>
    <n v="6"/>
  </r>
  <r>
    <s v="TASK0117"/>
    <s v="Dashboard Setup"/>
    <s v="Maria Harris"/>
    <x v="1"/>
    <d v="2025-12-10T00:00:00"/>
    <d v="2025-12-29T00:00:00"/>
    <m/>
    <s v="In Progress"/>
    <s v="Medium"/>
    <b v="0"/>
    <n v="0"/>
    <n v="7"/>
  </r>
  <r>
    <s v="TASK0118"/>
    <s v="Compliance Audit"/>
    <s v="Alice Johnson"/>
    <x v="3"/>
    <d v="2026-02-24T00:00:00"/>
    <d v="2026-03-21T00:00:00"/>
    <d v="2026-03-22T00:00:00"/>
    <s v="Completed"/>
    <s v="High"/>
    <b v="1"/>
    <n v="1"/>
    <n v="9"/>
  </r>
  <r>
    <s v="TASK0119"/>
    <s v="Product Launch"/>
    <s v="Henry Davis"/>
    <x v="1"/>
    <d v="2025-07-13T00:00:00"/>
    <d v="2025-08-09T00:00:00"/>
    <m/>
    <s v="Overdue"/>
    <s v="Medium"/>
    <b v="1"/>
    <n v="6"/>
    <n v="4"/>
  </r>
  <r>
    <s v="TASK0120"/>
    <s v="Risk Assessment"/>
    <s v="Isabella Taylor"/>
    <x v="4"/>
    <d v="2026-01-17T00:00:00"/>
    <d v="2026-02-03T00:00:00"/>
    <d v="2026-02-06T00:00:00"/>
    <s v="Completed"/>
    <s v="Low"/>
    <b v="1"/>
    <n v="3"/>
    <n v="6"/>
  </r>
  <r>
    <s v="TASK0121"/>
    <s v="Contract Negotiation"/>
    <s v="Bob Martinez"/>
    <x v="0"/>
    <d v="2025-06-26T00:00:00"/>
    <d v="2025-07-03T00:00:00"/>
    <m/>
    <s v="Cancelled"/>
    <s v="High"/>
    <b v="0"/>
    <n v="0"/>
    <n v="7"/>
  </r>
  <r>
    <s v="TASK0122"/>
    <s v="Contract Negotiation"/>
    <s v="Alice Johnson"/>
    <x v="3"/>
    <d v="2026-02-22T00:00:00"/>
    <d v="2026-03-15T00:00:00"/>
    <d v="2026-03-17T00:00:00"/>
    <s v="Completed"/>
    <s v="High"/>
    <b v="1"/>
    <n v="2"/>
    <n v="4"/>
  </r>
  <r>
    <s v="TASK0123"/>
    <s v="Process Improvement"/>
    <s v="Grace Chen"/>
    <x v="0"/>
    <d v="2025-05-06T00:00:00"/>
    <d v="2025-05-13T00:00:00"/>
    <d v="2025-05-18T00:00:00"/>
    <s v="Completed"/>
    <s v="Medium"/>
    <b v="1"/>
    <n v="5"/>
    <n v="4"/>
  </r>
  <r>
    <s v="TASK0124"/>
    <s v="Stakeholder Report"/>
    <s v="Henry Davis"/>
    <x v="1"/>
    <d v="2025-08-03T00:00:00"/>
    <d v="2025-09-01T00:00:00"/>
    <m/>
    <s v="In Progress"/>
    <s v="Low"/>
    <b v="0"/>
    <n v="0"/>
    <n v="7"/>
  </r>
  <r>
    <s v="TASK0125"/>
    <s v="Market Analysis"/>
    <s v="Liam Jackson"/>
    <x v="0"/>
    <d v="2025-10-08T00:00:00"/>
    <d v="2025-11-01T00:00:00"/>
    <m/>
    <s v="In Progress"/>
    <s v="Low"/>
    <b v="0"/>
    <n v="0"/>
    <n v="3"/>
  </r>
  <r>
    <s v="TASK0126"/>
    <s v="Policy Update"/>
    <s v="Grace Chen"/>
    <x v="0"/>
    <d v="2025-07-18T00:00:00"/>
    <d v="2025-08-07T00:00:00"/>
    <m/>
    <s v="Overdue"/>
    <s v="High"/>
    <b v="1"/>
    <n v="11"/>
    <n v="9"/>
  </r>
  <r>
    <s v="TASK0127"/>
    <s v="Team Meeting"/>
    <s v="Olivia Lewis"/>
    <x v="2"/>
    <d v="2025-05-10T00:00:00"/>
    <d v="2025-06-04T00:00:00"/>
    <m/>
    <s v="Cancelled"/>
    <s v="Low"/>
    <b v="0"/>
    <n v="0"/>
    <n v="7"/>
  </r>
  <r>
    <s v="TASK0128"/>
    <s v="System Upgrade"/>
    <s v="Liam Jackson"/>
    <x v="0"/>
    <d v="2025-05-14T00:00:00"/>
    <d v="2025-05-18T00:00:00"/>
    <d v="2025-05-21T00:00:00"/>
    <s v="Completed"/>
    <s v="Medium"/>
    <b v="1"/>
    <n v="3"/>
    <n v="1"/>
  </r>
  <r>
    <s v="TASK0129"/>
    <s v="Risk Assessment"/>
    <s v="Liam Jackson"/>
    <x v="0"/>
    <d v="2025-05-27T00:00:00"/>
    <d v="2025-06-25T00:00:00"/>
    <m/>
    <s v="Cancelled"/>
    <s v="Medium"/>
    <b v="0"/>
    <n v="0"/>
    <n v="9"/>
  </r>
  <r>
    <s v="TASK0130"/>
    <s v="Client Presentation"/>
    <s v="David Lee"/>
    <x v="4"/>
    <d v="2025-09-07T00:00:00"/>
    <d v="2025-09-24T00:00:00"/>
    <d v="2025-09-30T00:00:00"/>
    <s v="Completed"/>
    <s v="Medium"/>
    <b v="1"/>
    <n v="6"/>
    <n v="5"/>
  </r>
  <r>
    <s v="TASK0131"/>
    <s v="Budget Review"/>
    <s v="David Lee"/>
    <x v="4"/>
    <d v="2025-06-17T00:00:00"/>
    <d v="2025-07-15T00:00:00"/>
    <d v="2025-07-13T00:00:00"/>
    <s v="Completed"/>
    <s v="Low"/>
    <b v="0"/>
    <n v="0"/>
    <n v="10"/>
  </r>
  <r>
    <s v="TASK0132"/>
    <s v="Vendor Evaluation"/>
    <s v="Frank Wilson"/>
    <x v="3"/>
    <d v="2025-12-15T00:00:00"/>
    <d v="2025-12-18T00:00:00"/>
    <m/>
    <s v="In Progress"/>
    <s v="Medium"/>
    <b v="0"/>
    <n v="0"/>
    <n v="2"/>
  </r>
  <r>
    <s v="TASK0133"/>
    <s v="Quarterly Report"/>
    <s v="Maria Harris"/>
    <x v="1"/>
    <d v="2026-02-13T00:00:00"/>
    <d v="2026-02-22T00:00:00"/>
    <m/>
    <s v="Overdue"/>
    <s v="Medium"/>
    <b v="1"/>
    <n v="2"/>
    <n v="4"/>
  </r>
  <r>
    <s v="TASK0134"/>
    <s v="Product Launch"/>
    <s v="James Anderson"/>
    <x v="2"/>
    <d v="2025-04-29T00:00:00"/>
    <d v="2025-05-20T00:00:00"/>
    <d v="2025-05-23T00:00:00"/>
    <s v="Completed"/>
    <s v="Low"/>
    <b v="1"/>
    <n v="3"/>
    <n v="10"/>
  </r>
  <r>
    <s v="TASK0135"/>
    <s v="Vendor Evaluation"/>
    <s v="Alice Johnson"/>
    <x v="3"/>
    <d v="2025-04-25T00:00:00"/>
    <d v="2025-05-04T00:00:00"/>
    <m/>
    <s v="Overdue"/>
    <s v="Medium"/>
    <b v="1"/>
    <n v="8"/>
    <n v="7"/>
  </r>
  <r>
    <s v="TASK0136"/>
    <s v="Data Migration"/>
    <s v="Maria Harris"/>
    <x v="1"/>
    <d v="2025-11-16T00:00:00"/>
    <d v="2025-12-04T00:00:00"/>
    <m/>
    <s v="Overdue"/>
    <s v="High"/>
    <b v="1"/>
    <n v="9"/>
    <n v="10"/>
  </r>
  <r>
    <s v="TASK0137"/>
    <s v="Team Meeting"/>
    <s v="Frank Wilson"/>
    <x v="3"/>
    <d v="2025-11-02T00:00:00"/>
    <d v="2025-11-07T00:00:00"/>
    <m/>
    <s v="Overdue"/>
    <s v="High"/>
    <b v="1"/>
    <n v="13"/>
    <n v="9"/>
  </r>
  <r>
    <s v="TASK0138"/>
    <s v="Market Analysis"/>
    <s v="Frank Wilson"/>
    <x v="3"/>
    <d v="2025-10-15T00:00:00"/>
    <d v="2025-10-26T00:00:00"/>
    <m/>
    <s v="Overdue"/>
    <s v="Medium"/>
    <b v="1"/>
    <n v="15"/>
    <n v="6"/>
  </r>
  <r>
    <s v="TASK0139"/>
    <s v="Market Analysis"/>
    <s v="Grace Chen"/>
    <x v="0"/>
    <d v="2026-01-21T00:00:00"/>
    <d v="2026-02-11T00:00:00"/>
    <m/>
    <s v="In Progress"/>
    <s v="High"/>
    <b v="0"/>
    <n v="0"/>
    <n v="2"/>
  </r>
  <r>
    <s v="TASK0140"/>
    <s v="Client Presentation"/>
    <s v="Liam Jackson"/>
    <x v="0"/>
    <d v="2025-08-12T00:00:00"/>
    <d v="2025-08-24T00:00:00"/>
    <m/>
    <s v="Cancelled"/>
    <s v="High"/>
    <b v="0"/>
    <n v="0"/>
    <n v="6"/>
  </r>
  <r>
    <s v="TASK0141"/>
    <s v="Client Presentation"/>
    <s v="Carol White"/>
    <x v="1"/>
    <d v="2025-09-07T00:00:00"/>
    <d v="2025-09-10T00:00:00"/>
    <d v="2025-09-11T00:00:00"/>
    <s v="Completed"/>
    <s v="High"/>
    <b v="1"/>
    <n v="1"/>
    <n v="4"/>
  </r>
  <r>
    <s v="TASK0142"/>
    <s v="Process Improvement"/>
    <s v="Grace Chen"/>
    <x v="0"/>
    <d v="2026-02-04T00:00:00"/>
    <d v="2026-03-04T00:00:00"/>
    <d v="2026-03-11T00:00:00"/>
    <s v="Completed"/>
    <s v="Medium"/>
    <b v="1"/>
    <n v="7"/>
    <n v="5"/>
  </r>
  <r>
    <s v="TASK0143"/>
    <s v="Stakeholder Report"/>
    <s v="Liam Jackson"/>
    <x v="0"/>
    <d v="2025-06-23T00:00:00"/>
    <d v="2025-07-02T00:00:00"/>
    <d v="2025-07-05T00:00:00"/>
    <s v="Completed"/>
    <s v="Medium"/>
    <b v="1"/>
    <n v="3"/>
    <n v="4"/>
  </r>
  <r>
    <s v="TASK0144"/>
    <s v="Security Patch"/>
    <s v="Emma Brown"/>
    <x v="2"/>
    <d v="2025-04-08T00:00:00"/>
    <d v="2025-04-26T00:00:00"/>
    <d v="2025-04-30T00:00:00"/>
    <s v="Completed"/>
    <s v="Low"/>
    <b v="1"/>
    <n v="4"/>
    <n v="10"/>
  </r>
  <r>
    <s v="TASK0145"/>
    <s v="Compliance Audit"/>
    <s v="James Anderson"/>
    <x v="2"/>
    <d v="2025-03-21T00:00:00"/>
    <d v="2025-03-28T00:00:00"/>
    <d v="2025-03-29T00:00:00"/>
    <s v="Completed"/>
    <s v="High"/>
    <b v="1"/>
    <n v="1"/>
    <n v="3"/>
  </r>
  <r>
    <s v="TASK0146"/>
    <s v="Dashboard Setup"/>
    <s v="Nathan Clark"/>
    <x v="4"/>
    <d v="2025-09-21T00:00:00"/>
    <d v="2025-10-15T00:00:00"/>
    <m/>
    <s v="In Progress"/>
    <s v="High"/>
    <b v="0"/>
    <n v="0"/>
    <n v="3"/>
  </r>
  <r>
    <s v="TASK0147"/>
    <s v="Training Session"/>
    <s v="James Anderson"/>
    <x v="2"/>
    <d v="2025-10-31T00:00:00"/>
    <d v="2025-11-09T00:00:00"/>
    <m/>
    <s v="Cancelled"/>
    <s v="Medium"/>
    <b v="0"/>
    <n v="0"/>
    <n v="5"/>
  </r>
  <r>
    <s v="TASK0148"/>
    <s v="Team Meeting"/>
    <s v="Maria Harris"/>
    <x v="1"/>
    <d v="2025-03-19T00:00:00"/>
    <d v="2025-04-06T00:00:00"/>
    <m/>
    <s v="Overdue"/>
    <s v="Low"/>
    <b v="1"/>
    <n v="7"/>
    <n v="5"/>
  </r>
  <r>
    <s v="TASK0149"/>
    <s v="Product Launch"/>
    <s v="Bob Martinez"/>
    <x v="0"/>
    <d v="2026-02-25T00:00:00"/>
    <d v="2026-03-11T00:00:00"/>
    <m/>
    <s v="Cancelled"/>
    <s v="Medium"/>
    <b v="0"/>
    <n v="0"/>
    <n v="8"/>
  </r>
  <r>
    <s v="TASK0150"/>
    <s v="Data Migration"/>
    <s v="Carol White"/>
    <x v="1"/>
    <d v="2025-01-19T00:00:00"/>
    <d v="2025-01-23T00:00:00"/>
    <d v="2025-01-23T00:00:00"/>
    <s v="Completed"/>
    <s v="Low"/>
    <b v="0"/>
    <n v="0"/>
    <n v="1"/>
  </r>
  <r>
    <s v="TASK0151"/>
    <s v="Dashboard Setup"/>
    <s v="Isabella Taylor"/>
    <x v="4"/>
    <d v="2025-05-21T00:00:00"/>
    <d v="2025-05-25T00:00:00"/>
    <d v="2025-05-23T00:00:00"/>
    <s v="Completed"/>
    <s v="Medium"/>
    <b v="0"/>
    <n v="0"/>
    <n v="1"/>
  </r>
  <r>
    <s v="TASK0152"/>
    <s v="Stakeholder Report"/>
    <s v="Maria Harris"/>
    <x v="1"/>
    <d v="2025-11-11T00:00:00"/>
    <d v="2025-11-26T00:00:00"/>
    <d v="2025-11-26T00:00:00"/>
    <s v="Completed"/>
    <s v="High"/>
    <b v="0"/>
    <n v="0"/>
    <n v="2"/>
  </r>
  <r>
    <s v="TASK0153"/>
    <s v="Team Meeting"/>
    <s v="Olivia Lewis"/>
    <x v="2"/>
    <d v="2025-01-01T00:00:00"/>
    <d v="2025-01-11T00:00:00"/>
    <d v="2025-01-10T00:00:00"/>
    <s v="Completed"/>
    <s v="High"/>
    <b v="0"/>
    <n v="0"/>
    <n v="4"/>
  </r>
  <r>
    <s v="TASK0154"/>
    <s v="Data Migration"/>
    <s v="Grace Chen"/>
    <x v="0"/>
    <d v="2025-08-09T00:00:00"/>
    <d v="2025-08-12T00:00:00"/>
    <d v="2025-08-13T00:00:00"/>
    <s v="Completed"/>
    <s v="Critical"/>
    <b v="1"/>
    <n v="1"/>
    <n v="9"/>
  </r>
  <r>
    <s v="TASK0155"/>
    <s v="Product Launch"/>
    <s v="Grace Chen"/>
    <x v="0"/>
    <d v="2025-04-28T00:00:00"/>
    <d v="2025-05-07T00:00:00"/>
    <m/>
    <s v="Overdue"/>
    <s v="Medium"/>
    <b v="1"/>
    <n v="7"/>
    <n v="5"/>
  </r>
  <r>
    <s v="TASK0156"/>
    <s v="Compliance Audit"/>
    <s v="Isabella Taylor"/>
    <x v="4"/>
    <d v="2025-04-13T00:00:00"/>
    <d v="2025-05-06T00:00:00"/>
    <m/>
    <s v="In Progress"/>
    <s v="Medium"/>
    <b v="0"/>
    <n v="0"/>
    <n v="3"/>
  </r>
  <r>
    <s v="TASK0157"/>
    <s v="Risk Assessment"/>
    <s v="Emma Brown"/>
    <x v="2"/>
    <d v="2026-01-24T00:00:00"/>
    <d v="2026-02-15T00:00:00"/>
    <d v="2026-02-14T00:00:00"/>
    <s v="Completed"/>
    <s v="Low"/>
    <b v="0"/>
    <n v="0"/>
    <n v="5"/>
  </r>
  <r>
    <s v="TASK0158"/>
    <s v="Code Review"/>
    <s v="Carol White"/>
    <x v="1"/>
    <d v="2025-02-10T00:00:00"/>
    <d v="2025-02-13T00:00:00"/>
    <d v="2025-02-20T00:00:00"/>
    <s v="Completed"/>
    <s v="Critical"/>
    <b v="1"/>
    <n v="7"/>
    <n v="1"/>
  </r>
  <r>
    <s v="TASK0159"/>
    <s v="Contract Negotiation"/>
    <s v="Carol White"/>
    <x v="1"/>
    <d v="2025-08-02T00:00:00"/>
    <d v="2025-08-11T00:00:00"/>
    <d v="2025-08-09T00:00:00"/>
    <s v="Completed"/>
    <s v="Critical"/>
    <b v="0"/>
    <n v="0"/>
    <n v="8"/>
  </r>
  <r>
    <s v="TASK0160"/>
    <s v="Quarterly Report"/>
    <s v="Isabella Taylor"/>
    <x v="4"/>
    <d v="2025-05-07T00:00:00"/>
    <d v="2025-06-02T00:00:00"/>
    <m/>
    <s v="Overdue"/>
    <s v="Medium"/>
    <b v="1"/>
    <n v="11"/>
    <n v="5"/>
  </r>
  <r>
    <s v="TASK0161"/>
    <s v="Stakeholder Report"/>
    <s v="James Anderson"/>
    <x v="2"/>
    <d v="2025-05-12T00:00:00"/>
    <d v="2025-05-21T00:00:00"/>
    <m/>
    <s v="Overdue"/>
    <s v="High"/>
    <b v="1"/>
    <n v="5"/>
    <n v="10"/>
  </r>
  <r>
    <s v="TASK0162"/>
    <s v="Market Analysis"/>
    <s v="Nathan Clark"/>
    <x v="4"/>
    <d v="2025-02-05T00:00:00"/>
    <d v="2025-02-17T00:00:00"/>
    <m/>
    <s v="In Progress"/>
    <s v="Medium"/>
    <b v="0"/>
    <n v="0"/>
    <n v="10"/>
  </r>
  <r>
    <s v="TASK0163"/>
    <s v="System Upgrade"/>
    <s v="Liam Jackson"/>
    <x v="0"/>
    <d v="2025-09-28T00:00:00"/>
    <d v="2025-10-09T00:00:00"/>
    <m/>
    <s v="Overdue"/>
    <s v="High"/>
    <b v="1"/>
    <n v="5"/>
    <n v="9"/>
  </r>
  <r>
    <s v="TASK0164"/>
    <s v="Stakeholder Report"/>
    <s v="Henry Davis"/>
    <x v="1"/>
    <d v="2025-01-14T00:00:00"/>
    <d v="2025-02-05T00:00:00"/>
    <d v="2025-02-06T00:00:00"/>
    <s v="Completed"/>
    <s v="High"/>
    <b v="1"/>
    <n v="1"/>
    <n v="5"/>
  </r>
  <r>
    <s v="TASK0165"/>
    <s v="Policy Update"/>
    <s v="Frank Wilson"/>
    <x v="3"/>
    <d v="2025-11-15T00:00:00"/>
    <d v="2025-11-26T00:00:00"/>
    <m/>
    <s v="In Progress"/>
    <s v="High"/>
    <b v="0"/>
    <n v="0"/>
    <n v="1"/>
  </r>
  <r>
    <s v="TASK0166"/>
    <s v="Training Session"/>
    <s v="Liam Jackson"/>
    <x v="0"/>
    <d v="2025-04-17T00:00:00"/>
    <d v="2025-04-23T00:00:00"/>
    <m/>
    <s v="Overdue"/>
    <s v="High"/>
    <b v="1"/>
    <n v="15"/>
    <n v="2"/>
  </r>
  <r>
    <s v="TASK0167"/>
    <s v="Product Launch"/>
    <s v="Carol White"/>
    <x v="1"/>
    <d v="2025-02-24T00:00:00"/>
    <d v="2025-03-25T00:00:00"/>
    <d v="2025-03-25T00:00:00"/>
    <s v="Completed"/>
    <s v="Medium"/>
    <b v="0"/>
    <n v="0"/>
    <n v="8"/>
  </r>
  <r>
    <s v="TASK0168"/>
    <s v="Training Session"/>
    <s v="Alice Johnson"/>
    <x v="3"/>
    <d v="2025-06-24T00:00:00"/>
    <d v="2025-06-30T00:00:00"/>
    <m/>
    <s v="Cancelled"/>
    <s v="Critical"/>
    <b v="0"/>
    <n v="0"/>
    <n v="6"/>
  </r>
  <r>
    <s v="TASK0169"/>
    <s v="Team Meeting"/>
    <s v="Isabella Taylor"/>
    <x v="4"/>
    <d v="2025-10-07T00:00:00"/>
    <d v="2025-10-14T00:00:00"/>
    <d v="2025-10-14T00:00:00"/>
    <s v="Completed"/>
    <s v="Low"/>
    <b v="0"/>
    <n v="0"/>
    <n v="9"/>
  </r>
  <r>
    <s v="TASK0170"/>
    <s v="Compliance Audit"/>
    <s v="Karen Thomas"/>
    <x v="3"/>
    <d v="2025-10-26T00:00:00"/>
    <d v="2025-11-24T00:00:00"/>
    <d v="2025-11-30T00:00:00"/>
    <s v="Completed"/>
    <s v="Medium"/>
    <b v="1"/>
    <n v="6"/>
    <n v="1"/>
  </r>
  <r>
    <s v="TASK0171"/>
    <s v="Policy Update"/>
    <s v="Carol White"/>
    <x v="1"/>
    <d v="2026-01-29T00:00:00"/>
    <d v="2026-02-23T00:00:00"/>
    <d v="2026-02-23T00:00:00"/>
    <s v="Completed"/>
    <s v="Medium"/>
    <b v="0"/>
    <n v="0"/>
    <n v="1"/>
  </r>
  <r>
    <s v="TASK0172"/>
    <s v="Dashboard Setup"/>
    <s v="James Anderson"/>
    <x v="2"/>
    <d v="2025-11-01T00:00:00"/>
    <d v="2025-11-18T00:00:00"/>
    <d v="2025-11-23T00:00:00"/>
    <s v="Completed"/>
    <s v="Medium"/>
    <b v="1"/>
    <n v="5"/>
    <n v="7"/>
  </r>
  <r>
    <s v="TASK0173"/>
    <s v="System Upgrade"/>
    <s v="Liam Jackson"/>
    <x v="0"/>
    <d v="2025-07-08T00:00:00"/>
    <d v="2025-08-04T00:00:00"/>
    <m/>
    <s v="Cancelled"/>
    <s v="Medium"/>
    <b v="0"/>
    <n v="0"/>
    <n v="6"/>
  </r>
  <r>
    <s v="TASK0174"/>
    <s v="Product Launch"/>
    <s v="Henry Davis"/>
    <x v="1"/>
    <d v="2025-07-12T00:00:00"/>
    <d v="2025-07-26T00:00:00"/>
    <m/>
    <s v="Overdue"/>
    <s v="Critical"/>
    <b v="1"/>
    <n v="18"/>
    <n v="4"/>
  </r>
  <r>
    <s v="TASK0175"/>
    <s v="Vendor Evaluation"/>
    <s v="Bob Martinez"/>
    <x v="0"/>
    <d v="2025-07-30T00:00:00"/>
    <d v="2025-08-06T00:00:00"/>
    <d v="2025-08-07T00:00:00"/>
    <s v="Completed"/>
    <s v="Low"/>
    <b v="1"/>
    <n v="1"/>
    <n v="2"/>
  </r>
  <r>
    <s v="TASK0176"/>
    <s v="Stakeholder Report"/>
    <s v="Olivia Lewis"/>
    <x v="2"/>
    <d v="2026-03-19T00:00:00"/>
    <d v="2026-04-15T00:00:00"/>
    <d v="2026-04-15T00:00:00"/>
    <s v="Completed"/>
    <s v="High"/>
    <b v="0"/>
    <n v="0"/>
    <n v="10"/>
  </r>
  <r>
    <s v="TASK0177"/>
    <s v="Stakeholder Report"/>
    <s v="David Lee"/>
    <x v="4"/>
    <d v="2025-10-18T00:00:00"/>
    <d v="2025-10-31T00:00:00"/>
    <m/>
    <s v="Overdue"/>
    <s v="Medium"/>
    <b v="1"/>
    <n v="8"/>
    <n v="7"/>
  </r>
  <r>
    <s v="TASK0178"/>
    <s v="Dashboard Setup"/>
    <s v="Henry Davis"/>
    <x v="1"/>
    <d v="2026-03-04T00:00:00"/>
    <d v="2026-03-22T00:00:00"/>
    <m/>
    <s v="Overdue"/>
    <s v="Medium"/>
    <b v="1"/>
    <n v="9"/>
    <n v="6"/>
  </r>
  <r>
    <s v="TASK0179"/>
    <s v="Dashboard Setup"/>
    <s v="Bob Martinez"/>
    <x v="0"/>
    <d v="2025-08-15T00:00:00"/>
    <d v="2025-08-20T00:00:00"/>
    <m/>
    <s v="Overdue"/>
    <s v="Low"/>
    <b v="1"/>
    <n v="1"/>
    <n v="9"/>
  </r>
  <r>
    <s v="TASK0180"/>
    <s v="Market Analysis"/>
    <s v="David Lee"/>
    <x v="4"/>
    <d v="2026-03-21T00:00:00"/>
    <d v="2026-04-03T00:00:00"/>
    <d v="2026-04-09T00:00:00"/>
    <s v="Completed"/>
    <s v="Medium"/>
    <b v="1"/>
    <n v="6"/>
    <n v="3"/>
  </r>
  <r>
    <s v="TASK0181"/>
    <s v="Compliance Audit"/>
    <s v="Karen Thomas"/>
    <x v="3"/>
    <d v="2025-06-06T00:00:00"/>
    <d v="2025-06-25T00:00:00"/>
    <d v="2025-06-28T00:00:00"/>
    <s v="Completed"/>
    <s v="Low"/>
    <b v="1"/>
    <n v="3"/>
    <n v="7"/>
  </r>
  <r>
    <s v="TASK0182"/>
    <s v="Code Review"/>
    <s v="Isabella Taylor"/>
    <x v="4"/>
    <d v="2025-08-15T00:00:00"/>
    <d v="2025-08-30T00:00:00"/>
    <m/>
    <s v="In Progress"/>
    <s v="Medium"/>
    <b v="0"/>
    <n v="0"/>
    <n v="6"/>
  </r>
  <r>
    <s v="TASK0183"/>
    <s v="Dashboard Setup"/>
    <s v="Bob Martinez"/>
    <x v="0"/>
    <d v="2025-02-28T00:00:00"/>
    <d v="2025-03-11T00:00:00"/>
    <d v="2025-03-10T00:00:00"/>
    <s v="Completed"/>
    <s v="High"/>
    <b v="0"/>
    <n v="0"/>
    <n v="2"/>
  </r>
  <r>
    <s v="TASK0184"/>
    <s v="Security Patch"/>
    <s v="Emma Brown"/>
    <x v="2"/>
    <d v="2025-04-20T00:00:00"/>
    <d v="2025-04-28T00:00:00"/>
    <m/>
    <s v="Cancelled"/>
    <s v="High"/>
    <b v="0"/>
    <n v="0"/>
    <n v="7"/>
  </r>
  <r>
    <s v="TASK0185"/>
    <s v="Data Migration"/>
    <s v="Bob Martinez"/>
    <x v="0"/>
    <d v="2025-08-04T00:00:00"/>
    <d v="2025-08-12T00:00:00"/>
    <m/>
    <s v="Overdue"/>
    <s v="Medium"/>
    <b v="1"/>
    <n v="19"/>
    <n v="4"/>
  </r>
  <r>
    <s v="TASK0186"/>
    <s v="Data Migration"/>
    <s v="Carol White"/>
    <x v="1"/>
    <d v="2025-02-27T00:00:00"/>
    <d v="2025-03-03T00:00:00"/>
    <d v="2025-03-01T00:00:00"/>
    <s v="Completed"/>
    <s v="Medium"/>
    <b v="0"/>
    <n v="0"/>
    <n v="5"/>
  </r>
  <r>
    <s v="TASK0187"/>
    <s v="Risk Assessment"/>
    <s v="Henry Davis"/>
    <x v="1"/>
    <d v="2026-02-02T00:00:00"/>
    <d v="2026-02-07T00:00:00"/>
    <m/>
    <s v="In Progress"/>
    <s v="Low"/>
    <b v="0"/>
    <n v="0"/>
    <n v="7"/>
  </r>
  <r>
    <s v="TASK0188"/>
    <s v="Compliance Audit"/>
    <s v="David Lee"/>
    <x v="4"/>
    <d v="2026-01-30T00:00:00"/>
    <d v="2026-02-22T00:00:00"/>
    <m/>
    <s v="Overdue"/>
    <s v="High"/>
    <b v="1"/>
    <n v="18"/>
    <n v="3"/>
  </r>
  <r>
    <s v="TASK0189"/>
    <s v="Training Session"/>
    <s v="Bob Martinez"/>
    <x v="0"/>
    <d v="2025-02-02T00:00:00"/>
    <d v="2025-02-16T00:00:00"/>
    <m/>
    <s v="Cancelled"/>
    <s v="Low"/>
    <b v="0"/>
    <n v="0"/>
    <n v="10"/>
  </r>
  <r>
    <s v="TASK0190"/>
    <s v="Budget Review"/>
    <s v="Carol White"/>
    <x v="1"/>
    <d v="2026-01-03T00:00:00"/>
    <d v="2026-01-28T00:00:00"/>
    <m/>
    <s v="In Progress"/>
    <s v="High"/>
    <b v="0"/>
    <n v="0"/>
    <n v="5"/>
  </r>
  <r>
    <s v="TASK0191"/>
    <s v="Budget Review"/>
    <s v="Liam Jackson"/>
    <x v="0"/>
    <d v="2025-04-24T00:00:00"/>
    <d v="2025-05-09T00:00:00"/>
    <d v="2025-05-08T00:00:00"/>
    <s v="Completed"/>
    <s v="Medium"/>
    <b v="0"/>
    <n v="0"/>
    <n v="7"/>
  </r>
  <r>
    <s v="TASK0192"/>
    <s v="Security Patch"/>
    <s v="Bob Martinez"/>
    <x v="0"/>
    <d v="2025-05-14T00:00:00"/>
    <d v="2025-06-08T00:00:00"/>
    <m/>
    <s v="Overdue"/>
    <s v="Medium"/>
    <b v="1"/>
    <n v="8"/>
    <n v="9"/>
  </r>
  <r>
    <s v="TASK0193"/>
    <s v="Quarterly Report"/>
    <s v="Maria Harris"/>
    <x v="1"/>
    <d v="2025-04-04T00:00:00"/>
    <d v="2025-04-23T00:00:00"/>
    <m/>
    <s v="Overdue"/>
    <s v="Medium"/>
    <b v="1"/>
    <n v="18"/>
    <n v="5"/>
  </r>
  <r>
    <s v="TASK0194"/>
    <s v="Performance Review"/>
    <s v="Grace Chen"/>
    <x v="0"/>
    <d v="2025-04-30T00:00:00"/>
    <d v="2025-05-07T00:00:00"/>
    <d v="2025-05-13T00:00:00"/>
    <s v="Completed"/>
    <s v="Low"/>
    <b v="1"/>
    <n v="6"/>
    <n v="2"/>
  </r>
  <r>
    <s v="TASK0195"/>
    <s v="Team Meeting"/>
    <s v="James Anderson"/>
    <x v="2"/>
    <d v="2025-04-21T00:00:00"/>
    <d v="2025-05-17T00:00:00"/>
    <d v="2025-05-22T00:00:00"/>
    <s v="Completed"/>
    <s v="Medium"/>
    <b v="1"/>
    <n v="5"/>
    <n v="2"/>
  </r>
  <r>
    <s v="TASK0196"/>
    <s v="Product Launch"/>
    <s v="Carol White"/>
    <x v="1"/>
    <d v="2025-08-27T00:00:00"/>
    <d v="2025-09-18T00:00:00"/>
    <d v="2025-09-18T00:00:00"/>
    <s v="Completed"/>
    <s v="Low"/>
    <b v="0"/>
    <n v="0"/>
    <n v="9"/>
  </r>
  <r>
    <s v="TASK0197"/>
    <s v="Budget Review"/>
    <s v="Emma Brown"/>
    <x v="2"/>
    <d v="2026-02-04T00:00:00"/>
    <d v="2026-02-07T00:00:00"/>
    <m/>
    <s v="Cancelled"/>
    <s v="High"/>
    <b v="0"/>
    <n v="0"/>
    <n v="3"/>
  </r>
  <r>
    <s v="TASK0198"/>
    <s v="Product Launch"/>
    <s v="Liam Jackson"/>
    <x v="0"/>
    <d v="2025-06-26T00:00:00"/>
    <d v="2025-07-13T00:00:00"/>
    <d v="2025-07-19T00:00:00"/>
    <s v="Completed"/>
    <s v="Medium"/>
    <b v="1"/>
    <n v="6"/>
    <n v="5"/>
  </r>
  <r>
    <s v="TASK0199"/>
    <s v="Market Analysis"/>
    <s v="Grace Chen"/>
    <x v="0"/>
    <d v="2025-02-10T00:00:00"/>
    <d v="2025-02-26T00:00:00"/>
    <d v="2025-03-04T00:00:00"/>
    <s v="Completed"/>
    <s v="High"/>
    <b v="1"/>
    <n v="6"/>
    <n v="2"/>
  </r>
  <r>
    <s v="TASK0200"/>
    <s v="Client Presentation"/>
    <s v="Olivia Lewis"/>
    <x v="2"/>
    <d v="2025-03-15T00:00:00"/>
    <d v="2025-03-24T00:00:00"/>
    <m/>
    <s v="In Progress"/>
    <s v="High"/>
    <b v="0"/>
    <n v="0"/>
    <n v="10"/>
  </r>
  <r>
    <s v="TASK0201"/>
    <s v="Quarterly Report"/>
    <s v="Nathan Clark"/>
    <x v="4"/>
    <d v="2025-05-25T00:00:00"/>
    <d v="2025-06-21T00:00:00"/>
    <m/>
    <s v="Cancelled"/>
    <s v="High"/>
    <b v="0"/>
    <n v="0"/>
    <n v="1"/>
  </r>
  <r>
    <s v="TASK0202"/>
    <s v="Product Launch"/>
    <s v="James Anderson"/>
    <x v="2"/>
    <d v="2025-10-25T00:00:00"/>
    <d v="2025-11-02T00:00:00"/>
    <d v="2025-11-08T00:00:00"/>
    <s v="Completed"/>
    <s v="Medium"/>
    <b v="1"/>
    <n v="6"/>
    <n v="6"/>
  </r>
  <r>
    <s v="TASK0203"/>
    <s v="Risk Assessment"/>
    <s v="Olivia Lewis"/>
    <x v="2"/>
    <d v="2026-01-13T00:00:00"/>
    <d v="2026-01-20T00:00:00"/>
    <m/>
    <s v="Overdue"/>
    <s v="Low"/>
    <b v="1"/>
    <n v="16"/>
    <n v="4"/>
  </r>
  <r>
    <s v="TASK0204"/>
    <s v="Compliance Audit"/>
    <s v="Nathan Clark"/>
    <x v="4"/>
    <d v="2025-01-26T00:00:00"/>
    <d v="2025-02-19T00:00:00"/>
    <d v="2025-02-23T00:00:00"/>
    <s v="Completed"/>
    <s v="High"/>
    <b v="1"/>
    <n v="4"/>
    <n v="10"/>
  </r>
  <r>
    <s v="TASK0205"/>
    <s v="Client Presentation"/>
    <s v="James Anderson"/>
    <x v="2"/>
    <d v="2025-04-05T00:00:00"/>
    <d v="2025-05-02T00:00:00"/>
    <m/>
    <s v="Overdue"/>
    <s v="Medium"/>
    <b v="1"/>
    <n v="11"/>
    <n v="9"/>
  </r>
  <r>
    <s v="TASK0206"/>
    <s v="Market Analysis"/>
    <s v="Grace Chen"/>
    <x v="0"/>
    <d v="2025-05-07T00:00:00"/>
    <d v="2025-05-17T00:00:00"/>
    <d v="2025-05-23T00:00:00"/>
    <s v="Completed"/>
    <s v="Medium"/>
    <b v="1"/>
    <n v="6"/>
    <n v="6"/>
  </r>
  <r>
    <s v="TASK0207"/>
    <s v="Team Meeting"/>
    <s v="Alice Johnson"/>
    <x v="3"/>
    <d v="2025-12-21T00:00:00"/>
    <d v="2026-01-10T00:00:00"/>
    <d v="2026-01-12T00:00:00"/>
    <s v="Completed"/>
    <s v="Medium"/>
    <b v="1"/>
    <n v="2"/>
    <n v="5"/>
  </r>
  <r>
    <s v="TASK0208"/>
    <s v="Security Patch"/>
    <s v="Frank Wilson"/>
    <x v="3"/>
    <d v="2025-11-20T00:00:00"/>
    <d v="2025-12-05T00:00:00"/>
    <d v="2025-12-06T00:00:00"/>
    <s v="Completed"/>
    <s v="Low"/>
    <b v="1"/>
    <n v="1"/>
    <n v="5"/>
  </r>
  <r>
    <s v="TASK0209"/>
    <s v="Market Analysis"/>
    <s v="James Anderson"/>
    <x v="2"/>
    <d v="2025-08-25T00:00:00"/>
    <d v="2025-09-06T00:00:00"/>
    <d v="2025-09-09T00:00:00"/>
    <s v="Completed"/>
    <s v="Medium"/>
    <b v="1"/>
    <n v="3"/>
    <n v="7"/>
  </r>
  <r>
    <s v="TASK0210"/>
    <s v="Quarterly Report"/>
    <s v="Carol White"/>
    <x v="1"/>
    <d v="2026-03-21T00:00:00"/>
    <d v="2026-04-05T00:00:00"/>
    <m/>
    <s v="Overdue"/>
    <s v="Medium"/>
    <b v="1"/>
    <n v="6"/>
    <n v="6"/>
  </r>
  <r>
    <s v="TASK0211"/>
    <s v="Product Launch"/>
    <s v="Nathan Clark"/>
    <x v="4"/>
    <d v="2025-12-04T00:00:00"/>
    <d v="2025-12-24T00:00:00"/>
    <m/>
    <s v="Cancelled"/>
    <s v="Medium"/>
    <b v="0"/>
    <n v="0"/>
    <n v="5"/>
  </r>
  <r>
    <s v="TASK0212"/>
    <s v="Security Patch"/>
    <s v="Carol White"/>
    <x v="1"/>
    <d v="2025-11-29T00:00:00"/>
    <d v="2025-12-12T00:00:00"/>
    <d v="2025-12-14T00:00:00"/>
    <s v="Completed"/>
    <s v="Low"/>
    <b v="1"/>
    <n v="2"/>
    <n v="4"/>
  </r>
  <r>
    <s v="TASK0213"/>
    <s v="Security Patch"/>
    <s v="Nathan Clark"/>
    <x v="4"/>
    <d v="2026-02-13T00:00:00"/>
    <d v="2026-02-24T00:00:00"/>
    <d v="2026-02-26T00:00:00"/>
    <s v="Completed"/>
    <s v="Medium"/>
    <b v="1"/>
    <n v="2"/>
    <n v="6"/>
  </r>
  <r>
    <s v="TASK0214"/>
    <s v="Risk Assessment"/>
    <s v="Carol White"/>
    <x v="1"/>
    <d v="2025-07-18T00:00:00"/>
    <d v="2025-07-27T00:00:00"/>
    <d v="2025-07-26T00:00:00"/>
    <s v="Completed"/>
    <s v="High"/>
    <b v="0"/>
    <n v="0"/>
    <n v="7"/>
  </r>
  <r>
    <s v="TASK0215"/>
    <s v="Security Patch"/>
    <s v="Maria Harris"/>
    <x v="1"/>
    <d v="2025-10-26T00:00:00"/>
    <d v="2025-11-06T00:00:00"/>
    <m/>
    <s v="In Progress"/>
    <s v="Medium"/>
    <b v="0"/>
    <n v="0"/>
    <n v="1"/>
  </r>
  <r>
    <s v="TASK0216"/>
    <s v="Dashboard Setup"/>
    <s v="Alice Johnson"/>
    <x v="3"/>
    <d v="2026-02-27T00:00:00"/>
    <d v="2026-03-25T00:00:00"/>
    <d v="2026-03-30T00:00:00"/>
    <s v="Completed"/>
    <s v="High"/>
    <b v="1"/>
    <n v="5"/>
    <n v="2"/>
  </r>
  <r>
    <s v="TASK0217"/>
    <s v="Data Migration"/>
    <s v="David Lee"/>
    <x v="4"/>
    <d v="2025-12-11T00:00:00"/>
    <d v="2025-12-17T00:00:00"/>
    <d v="2025-12-17T00:00:00"/>
    <s v="Completed"/>
    <s v="Medium"/>
    <b v="0"/>
    <n v="0"/>
    <n v="9"/>
  </r>
  <r>
    <s v="TASK0218"/>
    <s v="Client Presentation"/>
    <s v="Emma Brown"/>
    <x v="2"/>
    <d v="2026-03-09T00:00:00"/>
    <d v="2026-03-26T00:00:00"/>
    <m/>
    <s v="Cancelled"/>
    <s v="Medium"/>
    <b v="0"/>
    <n v="0"/>
    <n v="8"/>
  </r>
  <r>
    <s v="TASK0219"/>
    <s v="Security Patch"/>
    <s v="Isabella Taylor"/>
    <x v="4"/>
    <d v="2025-04-25T00:00:00"/>
    <d v="2025-05-06T00:00:00"/>
    <m/>
    <s v="In Progress"/>
    <s v="Low"/>
    <b v="0"/>
    <n v="0"/>
    <n v="8"/>
  </r>
  <r>
    <s v="TASK0220"/>
    <s v="Performance Review"/>
    <s v="James Anderson"/>
    <x v="2"/>
    <d v="2025-07-18T00:00:00"/>
    <d v="2025-08-08T00:00:00"/>
    <m/>
    <s v="Cancelled"/>
    <s v="High"/>
    <b v="0"/>
    <n v="0"/>
    <n v="6"/>
  </r>
  <r>
    <s v="TASK0221"/>
    <s v="Market Analysis"/>
    <s v="Isabella Taylor"/>
    <x v="4"/>
    <d v="2025-10-02T00:00:00"/>
    <d v="2025-10-14T00:00:00"/>
    <m/>
    <s v="Overdue"/>
    <s v="Medium"/>
    <b v="1"/>
    <n v="9"/>
    <n v="1"/>
  </r>
  <r>
    <s v="TASK0222"/>
    <s v="Stakeholder Report"/>
    <s v="Carol White"/>
    <x v="1"/>
    <d v="2025-09-03T00:00:00"/>
    <d v="2025-09-25T00:00:00"/>
    <d v="2025-09-27T00:00:00"/>
    <s v="Completed"/>
    <s v="Low"/>
    <b v="1"/>
    <n v="2"/>
    <n v="10"/>
  </r>
  <r>
    <s v="TASK0223"/>
    <s v="Process Improvement"/>
    <s v="Grace Chen"/>
    <x v="0"/>
    <d v="2026-02-15T00:00:00"/>
    <d v="2026-03-15T00:00:00"/>
    <d v="2026-03-22T00:00:00"/>
    <s v="Completed"/>
    <s v="High"/>
    <b v="1"/>
    <n v="7"/>
    <n v="7"/>
  </r>
  <r>
    <s v="TASK0224"/>
    <s v="Market Analysis"/>
    <s v="Emma Brown"/>
    <x v="2"/>
    <d v="2025-12-11T00:00:00"/>
    <d v="2025-12-20T00:00:00"/>
    <m/>
    <s v="Overdue"/>
    <s v="Low"/>
    <b v="1"/>
    <n v="15"/>
    <n v="9"/>
  </r>
  <r>
    <s v="TASK0225"/>
    <s v="Contract Negotiation"/>
    <s v="Bob Martinez"/>
    <x v="0"/>
    <d v="2025-10-18T00:00:00"/>
    <d v="2025-11-07T00:00:00"/>
    <d v="2025-11-07T00:00:00"/>
    <s v="Completed"/>
    <s v="Medium"/>
    <b v="0"/>
    <n v="0"/>
    <n v="5"/>
  </r>
  <r>
    <s v="TASK0226"/>
    <s v="Data Migration"/>
    <s v="Emma Brown"/>
    <x v="2"/>
    <d v="2025-04-09T00:00:00"/>
    <d v="2025-04-29T00:00:00"/>
    <d v="2025-05-05T00:00:00"/>
    <s v="Completed"/>
    <s v="Medium"/>
    <b v="1"/>
    <n v="6"/>
    <n v="3"/>
  </r>
  <r>
    <s v="TASK0227"/>
    <s v="Quarterly Report"/>
    <s v="Emma Brown"/>
    <x v="2"/>
    <d v="2025-06-01T00:00:00"/>
    <d v="2025-06-16T00:00:00"/>
    <d v="2025-06-21T00:00:00"/>
    <s v="Completed"/>
    <s v="High"/>
    <b v="1"/>
    <n v="5"/>
    <n v="9"/>
  </r>
  <r>
    <s v="TASK0228"/>
    <s v="Contract Negotiation"/>
    <s v="Carol White"/>
    <x v="1"/>
    <d v="2025-02-22T00:00:00"/>
    <d v="2025-02-28T00:00:00"/>
    <m/>
    <s v="Overdue"/>
    <s v="High"/>
    <b v="1"/>
    <n v="8"/>
    <n v="9"/>
  </r>
  <r>
    <s v="TASK0229"/>
    <s v="Quarterly Report"/>
    <s v="Grace Chen"/>
    <x v="0"/>
    <d v="2025-07-10T00:00:00"/>
    <d v="2025-07-23T00:00:00"/>
    <d v="2025-07-27T00:00:00"/>
    <s v="Completed"/>
    <s v="High"/>
    <b v="1"/>
    <n v="4"/>
    <n v="10"/>
  </r>
  <r>
    <s v="TASK0230"/>
    <s v="Code Review"/>
    <s v="Nathan Clark"/>
    <x v="4"/>
    <d v="2025-03-04T00:00:00"/>
    <d v="2025-03-22T00:00:00"/>
    <d v="2025-03-27T00:00:00"/>
    <s v="Completed"/>
    <s v="Low"/>
    <b v="1"/>
    <n v="5"/>
    <n v="10"/>
  </r>
  <r>
    <s v="TASK0231"/>
    <s v="Risk Assessment"/>
    <s v="David Lee"/>
    <x v="4"/>
    <d v="2025-02-20T00:00:00"/>
    <d v="2025-03-14T00:00:00"/>
    <m/>
    <s v="In Progress"/>
    <s v="Low"/>
    <b v="0"/>
    <n v="0"/>
    <n v="3"/>
  </r>
  <r>
    <s v="TASK0232"/>
    <s v="Training Session"/>
    <s v="Maria Harris"/>
    <x v="1"/>
    <d v="2025-04-20T00:00:00"/>
    <d v="2025-05-06T00:00:00"/>
    <d v="2025-05-06T00:00:00"/>
    <s v="Completed"/>
    <s v="High"/>
    <b v="0"/>
    <n v="0"/>
    <n v="6"/>
  </r>
  <r>
    <s v="TASK0233"/>
    <s v="Market Analysis"/>
    <s v="Karen Thomas"/>
    <x v="3"/>
    <d v="2025-01-15T00:00:00"/>
    <d v="2025-01-31T00:00:00"/>
    <m/>
    <s v="Cancelled"/>
    <s v="Medium"/>
    <b v="0"/>
    <n v="0"/>
    <n v="1"/>
  </r>
  <r>
    <s v="TASK0234"/>
    <s v="Compliance Audit"/>
    <s v="Bob Martinez"/>
    <x v="0"/>
    <d v="2025-05-24T00:00:00"/>
    <d v="2025-06-04T00:00:00"/>
    <m/>
    <s v="Cancelled"/>
    <s v="Medium"/>
    <b v="0"/>
    <n v="0"/>
    <n v="1"/>
  </r>
  <r>
    <s v="TASK0235"/>
    <s v="Vendor Evaluation"/>
    <s v="Grace Chen"/>
    <x v="0"/>
    <d v="2025-12-10T00:00:00"/>
    <d v="2025-12-22T00:00:00"/>
    <d v="2025-12-23T00:00:00"/>
    <s v="Completed"/>
    <s v="Medium"/>
    <b v="1"/>
    <n v="1"/>
    <n v="4"/>
  </r>
  <r>
    <s v="TASK0236"/>
    <s v="Process Improvement"/>
    <s v="Liam Jackson"/>
    <x v="0"/>
    <d v="2025-06-27T00:00:00"/>
    <d v="2025-07-08T00:00:00"/>
    <m/>
    <s v="Overdue"/>
    <s v="Low"/>
    <b v="1"/>
    <n v="5"/>
    <n v="10"/>
  </r>
  <r>
    <s v="TASK0237"/>
    <s v="Stakeholder Report"/>
    <s v="Liam Jackson"/>
    <x v="0"/>
    <d v="2025-05-01T00:00:00"/>
    <d v="2025-05-07T00:00:00"/>
    <d v="2025-05-10T00:00:00"/>
    <s v="Completed"/>
    <s v="Low"/>
    <b v="1"/>
    <n v="3"/>
    <n v="3"/>
  </r>
  <r>
    <s v="TASK0238"/>
    <s v="Product Launch"/>
    <s v="Nathan Clark"/>
    <x v="4"/>
    <d v="2025-05-07T00:00:00"/>
    <d v="2025-05-11T00:00:00"/>
    <d v="2025-05-14T00:00:00"/>
    <s v="Completed"/>
    <s v="Critical"/>
    <b v="1"/>
    <n v="3"/>
    <n v="4"/>
  </r>
  <r>
    <s v="TASK0239"/>
    <s v="Dashboard Setup"/>
    <s v="Alice Johnson"/>
    <x v="3"/>
    <d v="2025-02-14T00:00:00"/>
    <d v="2025-02-17T00:00:00"/>
    <d v="2025-02-18T00:00:00"/>
    <s v="Completed"/>
    <s v="Critical"/>
    <b v="1"/>
    <n v="1"/>
    <n v="9"/>
  </r>
  <r>
    <s v="TASK0240"/>
    <s v="System Upgrade"/>
    <s v="James Anderson"/>
    <x v="2"/>
    <d v="2025-01-30T00:00:00"/>
    <d v="2025-02-25T00:00:00"/>
    <d v="2025-02-25T00:00:00"/>
    <s v="Completed"/>
    <s v="Low"/>
    <b v="0"/>
    <n v="0"/>
    <n v="1"/>
  </r>
  <r>
    <s v="TASK0241"/>
    <s v="Budget Review"/>
    <s v="Maria Harris"/>
    <x v="1"/>
    <d v="2025-07-10T00:00:00"/>
    <d v="2025-07-23T00:00:00"/>
    <m/>
    <s v="Overdue"/>
    <s v="Medium"/>
    <b v="1"/>
    <n v="11"/>
    <n v="1"/>
  </r>
  <r>
    <s v="TASK0242"/>
    <s v="Product Launch"/>
    <s v="Liam Jackson"/>
    <x v="0"/>
    <d v="2025-08-31T00:00:00"/>
    <d v="2025-09-23T00:00:00"/>
    <m/>
    <s v="Overdue"/>
    <s v="High"/>
    <b v="1"/>
    <n v="14"/>
    <n v="3"/>
  </r>
  <r>
    <s v="TASK0243"/>
    <s v="Client Presentation"/>
    <s v="Grace Chen"/>
    <x v="0"/>
    <d v="2025-10-19T00:00:00"/>
    <d v="2025-11-11T00:00:00"/>
    <d v="2025-11-18T00:00:00"/>
    <s v="Completed"/>
    <s v="High"/>
    <b v="1"/>
    <n v="7"/>
    <n v="7"/>
  </r>
  <r>
    <s v="TASK0244"/>
    <s v="Team Meeting"/>
    <s v="Bob Martinez"/>
    <x v="0"/>
    <d v="2025-01-20T00:00:00"/>
    <d v="2025-02-14T00:00:00"/>
    <d v="2025-02-12T00:00:00"/>
    <s v="Completed"/>
    <s v="Critical"/>
    <b v="0"/>
    <n v="0"/>
    <n v="2"/>
  </r>
  <r>
    <s v="TASK0245"/>
    <s v="Vendor Evaluation"/>
    <s v="Frank Wilson"/>
    <x v="3"/>
    <d v="2025-03-22T00:00:00"/>
    <d v="2025-04-06T00:00:00"/>
    <d v="2025-04-13T00:00:00"/>
    <s v="Completed"/>
    <s v="Low"/>
    <b v="1"/>
    <n v="7"/>
    <n v="10"/>
  </r>
  <r>
    <s v="TASK0246"/>
    <s v="Stakeholder Report"/>
    <s v="Frank Wilson"/>
    <x v="3"/>
    <d v="2025-07-24T00:00:00"/>
    <d v="2025-08-01T00:00:00"/>
    <m/>
    <s v="Cancelled"/>
    <s v="Low"/>
    <b v="0"/>
    <n v="0"/>
    <n v="10"/>
  </r>
  <r>
    <s v="TASK0247"/>
    <s v="Data Migration"/>
    <s v="James Anderson"/>
    <x v="2"/>
    <d v="2025-11-27T00:00:00"/>
    <d v="2025-11-30T00:00:00"/>
    <d v="2025-12-03T00:00:00"/>
    <s v="Completed"/>
    <s v="Medium"/>
    <b v="1"/>
    <n v="3"/>
    <n v="3"/>
  </r>
  <r>
    <s v="TASK0248"/>
    <s v="Risk Assessment"/>
    <s v="Liam Jackson"/>
    <x v="0"/>
    <d v="2025-01-12T00:00:00"/>
    <d v="2025-01-29T00:00:00"/>
    <m/>
    <s v="In Progress"/>
    <s v="Low"/>
    <b v="0"/>
    <n v="0"/>
    <n v="6"/>
  </r>
  <r>
    <s v="TASK0249"/>
    <s v="Data Migration"/>
    <s v="Alice Johnson"/>
    <x v="3"/>
    <d v="2025-05-10T00:00:00"/>
    <d v="2025-05-24T00:00:00"/>
    <d v="2025-05-24T00:00:00"/>
    <s v="Completed"/>
    <s v="Medium"/>
    <b v="0"/>
    <n v="0"/>
    <n v="7"/>
  </r>
  <r>
    <s v="TASK0250"/>
    <s v="Performance Review"/>
    <s v="Liam Jackson"/>
    <x v="0"/>
    <d v="2025-12-06T00:00:00"/>
    <d v="2025-12-16T00:00:00"/>
    <m/>
    <s v="In Progress"/>
    <s v="Low"/>
    <b v="0"/>
    <n v="0"/>
    <n v="2"/>
  </r>
  <r>
    <s v="TASK0251"/>
    <s v="Contract Negotiation"/>
    <s v="Bob Martinez"/>
    <x v="0"/>
    <d v="2025-11-01T00:00:00"/>
    <d v="2025-11-26T00:00:00"/>
    <m/>
    <s v="In Progress"/>
    <s v="High"/>
    <b v="0"/>
    <n v="0"/>
    <n v="6"/>
  </r>
  <r>
    <s v="TASK0252"/>
    <s v="Stakeholder Report"/>
    <s v="Alice Johnson"/>
    <x v="3"/>
    <d v="2025-12-15T00:00:00"/>
    <d v="2026-01-04T00:00:00"/>
    <d v="2026-01-09T00:00:00"/>
    <s v="Completed"/>
    <s v="Critical"/>
    <b v="1"/>
    <n v="5"/>
    <n v="6"/>
  </r>
  <r>
    <s v="TASK0253"/>
    <s v="Risk Assessment"/>
    <s v="Carol White"/>
    <x v="1"/>
    <d v="2026-01-14T00:00:00"/>
    <d v="2026-02-11T00:00:00"/>
    <d v="2026-02-13T00:00:00"/>
    <s v="Completed"/>
    <s v="Low"/>
    <b v="1"/>
    <n v="2"/>
    <n v="9"/>
  </r>
  <r>
    <s v="TASK0254"/>
    <s v="Team Meeting"/>
    <s v="Alice Johnson"/>
    <x v="3"/>
    <d v="2025-05-16T00:00:00"/>
    <d v="2025-06-06T00:00:00"/>
    <m/>
    <s v="In Progress"/>
    <s v="High"/>
    <b v="0"/>
    <n v="0"/>
    <n v="5"/>
  </r>
  <r>
    <s v="TASK0255"/>
    <s v="System Upgrade"/>
    <s v="Alice Johnson"/>
    <x v="3"/>
    <d v="2025-07-10T00:00:00"/>
    <d v="2025-07-27T00:00:00"/>
    <d v="2025-07-26T00:00:00"/>
    <s v="Completed"/>
    <s v="Critical"/>
    <b v="0"/>
    <n v="0"/>
    <n v="3"/>
  </r>
  <r>
    <s v="TASK0256"/>
    <s v="Compliance Audit"/>
    <s v="Bob Martinez"/>
    <x v="0"/>
    <d v="2025-06-12T00:00:00"/>
    <d v="2025-06-21T00:00:00"/>
    <d v="2025-06-19T00:00:00"/>
    <s v="Completed"/>
    <s v="Low"/>
    <b v="0"/>
    <n v="0"/>
    <n v="2"/>
  </r>
  <r>
    <s v="TASK0257"/>
    <s v="Process Improvement"/>
    <s v="Henry Davis"/>
    <x v="1"/>
    <d v="2025-04-03T00:00:00"/>
    <d v="2025-04-27T00:00:00"/>
    <m/>
    <s v="In Progress"/>
    <s v="High"/>
    <b v="0"/>
    <n v="0"/>
    <n v="4"/>
  </r>
  <r>
    <s v="TASK0258"/>
    <s v="System Upgrade"/>
    <s v="Nathan Clark"/>
    <x v="4"/>
    <d v="2025-01-23T00:00:00"/>
    <d v="2025-01-29T00:00:00"/>
    <d v="2025-01-31T00:00:00"/>
    <s v="Completed"/>
    <s v="Low"/>
    <b v="1"/>
    <n v="2"/>
    <n v="8"/>
  </r>
  <r>
    <s v="TASK0259"/>
    <s v="Dashboard Setup"/>
    <s v="James Anderson"/>
    <x v="2"/>
    <d v="2025-02-16T00:00:00"/>
    <d v="2025-03-13T00:00:00"/>
    <m/>
    <s v="Overdue"/>
    <s v="High"/>
    <b v="1"/>
    <n v="14"/>
    <n v="10"/>
  </r>
  <r>
    <s v="TASK0260"/>
    <s v="Process Improvement"/>
    <s v="Henry Davis"/>
    <x v="1"/>
    <d v="2025-01-29T00:00:00"/>
    <d v="2025-02-09T00:00:00"/>
    <d v="2025-02-11T00:00:00"/>
    <s v="Completed"/>
    <s v="Low"/>
    <b v="1"/>
    <n v="2"/>
    <n v="3"/>
  </r>
  <r>
    <s v="TASK0261"/>
    <s v="Team Meeting"/>
    <s v="Olivia Lewis"/>
    <x v="2"/>
    <d v="2025-12-27T00:00:00"/>
    <d v="2026-01-25T00:00:00"/>
    <m/>
    <s v="Overdue"/>
    <s v="Medium"/>
    <b v="1"/>
    <n v="7"/>
    <n v="10"/>
  </r>
  <r>
    <s v="TASK0262"/>
    <s v="Performance Review"/>
    <s v="Henry Davis"/>
    <x v="1"/>
    <d v="2025-12-29T00:00:00"/>
    <d v="2026-01-11T00:00:00"/>
    <m/>
    <s v="Cancelled"/>
    <s v="Medium"/>
    <b v="0"/>
    <n v="0"/>
    <n v="10"/>
  </r>
  <r>
    <s v="TASK0263"/>
    <s v="Client Presentation"/>
    <s v="Liam Jackson"/>
    <x v="0"/>
    <d v="2025-03-28T00:00:00"/>
    <d v="2025-04-26T00:00:00"/>
    <d v="2025-04-25T00:00:00"/>
    <s v="Completed"/>
    <s v="High"/>
    <b v="0"/>
    <n v="0"/>
    <n v="6"/>
  </r>
  <r>
    <s v="TASK0264"/>
    <s v="Vendor Evaluation"/>
    <s v="Liam Jackson"/>
    <x v="0"/>
    <d v="2025-07-03T00:00:00"/>
    <d v="2025-07-17T00:00:00"/>
    <d v="2025-07-19T00:00:00"/>
    <s v="Completed"/>
    <s v="Medium"/>
    <b v="1"/>
    <n v="2"/>
    <n v="9"/>
  </r>
  <r>
    <s v="TASK0265"/>
    <s v="Security Patch"/>
    <s v="Maria Harris"/>
    <x v="1"/>
    <d v="2025-06-26T00:00:00"/>
    <d v="2025-07-19T00:00:00"/>
    <m/>
    <s v="Cancelled"/>
    <s v="Low"/>
    <b v="0"/>
    <n v="0"/>
    <n v="7"/>
  </r>
  <r>
    <s v="TASK0266"/>
    <s v="Risk Assessment"/>
    <s v="Emma Brown"/>
    <x v="2"/>
    <d v="2025-05-12T00:00:00"/>
    <d v="2025-06-01T00:00:00"/>
    <m/>
    <s v="In Progress"/>
    <s v="Medium"/>
    <b v="0"/>
    <n v="0"/>
    <n v="4"/>
  </r>
  <r>
    <s v="TASK0267"/>
    <s v="Budget Review"/>
    <s v="Frank Wilson"/>
    <x v="3"/>
    <d v="2025-06-20T00:00:00"/>
    <d v="2025-07-07T00:00:00"/>
    <d v="2025-07-05T00:00:00"/>
    <s v="Completed"/>
    <s v="High"/>
    <b v="0"/>
    <n v="0"/>
    <n v="6"/>
  </r>
  <r>
    <s v="TASK0268"/>
    <s v="Stakeholder Report"/>
    <s v="Emma Brown"/>
    <x v="2"/>
    <d v="2025-04-07T00:00:00"/>
    <d v="2025-05-01T00:00:00"/>
    <d v="2025-05-04T00:00:00"/>
    <s v="Completed"/>
    <s v="Medium"/>
    <b v="1"/>
    <n v="3"/>
    <n v="2"/>
  </r>
  <r>
    <s v="TASK0269"/>
    <s v="Market Analysis"/>
    <s v="Liam Jackson"/>
    <x v="0"/>
    <d v="2026-02-22T00:00:00"/>
    <d v="2026-03-01T00:00:00"/>
    <m/>
    <s v="Overdue"/>
    <s v="High"/>
    <b v="1"/>
    <n v="12"/>
    <n v="8"/>
  </r>
  <r>
    <s v="TASK0270"/>
    <s v="Policy Update"/>
    <s v="Bob Martinez"/>
    <x v="0"/>
    <d v="2025-06-26T00:00:00"/>
    <d v="2025-07-01T00:00:00"/>
    <m/>
    <s v="Cancelled"/>
    <s v="Critical"/>
    <b v="0"/>
    <n v="0"/>
    <n v="7"/>
  </r>
  <r>
    <s v="TASK0271"/>
    <s v="Quarterly Report"/>
    <s v="Nathan Clark"/>
    <x v="4"/>
    <d v="2026-02-26T00:00:00"/>
    <d v="2026-03-19T00:00:00"/>
    <d v="2026-03-26T00:00:00"/>
    <s v="Completed"/>
    <s v="Medium"/>
    <b v="1"/>
    <n v="7"/>
    <n v="7"/>
  </r>
  <r>
    <s v="TASK0272"/>
    <s v="Stakeholder Report"/>
    <s v="Isabella Taylor"/>
    <x v="4"/>
    <d v="2025-04-18T00:00:00"/>
    <d v="2025-05-04T00:00:00"/>
    <m/>
    <s v="Overdue"/>
    <s v="Critical"/>
    <b v="1"/>
    <n v="4"/>
    <n v="2"/>
  </r>
  <r>
    <s v="TASK0273"/>
    <s v="Compliance Audit"/>
    <s v="Grace Chen"/>
    <x v="0"/>
    <d v="2026-02-01T00:00:00"/>
    <d v="2026-02-27T00:00:00"/>
    <m/>
    <s v="Overdue"/>
    <s v="Critical"/>
    <b v="1"/>
    <n v="19"/>
    <n v="10"/>
  </r>
  <r>
    <s v="TASK0274"/>
    <s v="Team Meeting"/>
    <s v="Frank Wilson"/>
    <x v="3"/>
    <d v="2025-07-15T00:00:00"/>
    <d v="2025-08-07T00:00:00"/>
    <d v="2025-08-06T00:00:00"/>
    <s v="Completed"/>
    <s v="Medium"/>
    <b v="0"/>
    <n v="0"/>
    <n v="7"/>
  </r>
  <r>
    <s v="TASK0275"/>
    <s v="Market Analysis"/>
    <s v="Henry Davis"/>
    <x v="1"/>
    <d v="2025-12-23T00:00:00"/>
    <d v="2026-01-18T00:00:00"/>
    <m/>
    <s v="Cancelled"/>
    <s v="Medium"/>
    <b v="0"/>
    <n v="0"/>
    <n v="1"/>
  </r>
  <r>
    <s v="TASK0276"/>
    <s v="Training Session"/>
    <s v="Maria Harris"/>
    <x v="1"/>
    <d v="2025-06-18T00:00:00"/>
    <d v="2025-06-24T00:00:00"/>
    <m/>
    <s v="Overdue"/>
    <s v="Medium"/>
    <b v="1"/>
    <n v="2"/>
    <n v="2"/>
  </r>
  <r>
    <s v="TASK0277"/>
    <s v="Contract Negotiation"/>
    <s v="Frank Wilson"/>
    <x v="3"/>
    <d v="2026-03-18T00:00:00"/>
    <d v="2026-04-09T00:00:00"/>
    <m/>
    <s v="In Progress"/>
    <s v="Medium"/>
    <b v="0"/>
    <n v="0"/>
    <n v="9"/>
  </r>
  <r>
    <s v="TASK0278"/>
    <s v="Process Improvement"/>
    <s v="James Anderson"/>
    <x v="2"/>
    <d v="2025-02-27T00:00:00"/>
    <d v="2025-03-05T00:00:00"/>
    <d v="2025-03-11T00:00:00"/>
    <s v="Completed"/>
    <s v="Medium"/>
    <b v="1"/>
    <n v="6"/>
    <n v="2"/>
  </r>
  <r>
    <s v="TASK0279"/>
    <s v="Compliance Audit"/>
    <s v="Liam Jackson"/>
    <x v="0"/>
    <d v="2025-11-25T00:00:00"/>
    <d v="2025-12-21T00:00:00"/>
    <d v="2025-12-19T00:00:00"/>
    <s v="Completed"/>
    <s v="Low"/>
    <b v="0"/>
    <n v="0"/>
    <n v="8"/>
  </r>
  <r>
    <s v="TASK0280"/>
    <s v="Vendor Evaluation"/>
    <s v="Alice Johnson"/>
    <x v="3"/>
    <d v="2025-09-18T00:00:00"/>
    <d v="2025-09-25T00:00:00"/>
    <d v="2025-09-29T00:00:00"/>
    <s v="Completed"/>
    <s v="Medium"/>
    <b v="1"/>
    <n v="4"/>
    <n v="5"/>
  </r>
  <r>
    <s v="TASK0281"/>
    <s v="Quarterly Report"/>
    <s v="Karen Thomas"/>
    <x v="3"/>
    <d v="2025-09-19T00:00:00"/>
    <d v="2025-10-04T00:00:00"/>
    <m/>
    <s v="In Progress"/>
    <s v="High"/>
    <b v="0"/>
    <n v="0"/>
    <n v="2"/>
  </r>
  <r>
    <s v="TASK0282"/>
    <s v="Training Session"/>
    <s v="Olivia Lewis"/>
    <x v="2"/>
    <d v="2025-03-26T00:00:00"/>
    <d v="2025-04-11T00:00:00"/>
    <d v="2025-04-12T00:00:00"/>
    <s v="Completed"/>
    <s v="High"/>
    <b v="1"/>
    <n v="1"/>
    <n v="6"/>
  </r>
  <r>
    <s v="TASK0283"/>
    <s v="Client Presentation"/>
    <s v="Carol White"/>
    <x v="1"/>
    <d v="2025-12-31T00:00:00"/>
    <d v="2026-01-14T00:00:00"/>
    <d v="2026-01-21T00:00:00"/>
    <s v="Completed"/>
    <s v="Low"/>
    <b v="1"/>
    <n v="7"/>
    <n v="1"/>
  </r>
  <r>
    <s v="TASK0284"/>
    <s v="Stakeholder Report"/>
    <s v="David Lee"/>
    <x v="4"/>
    <d v="2025-10-13T00:00:00"/>
    <d v="2025-10-25T00:00:00"/>
    <m/>
    <s v="Overdue"/>
    <s v="Medium"/>
    <b v="1"/>
    <n v="9"/>
    <n v="1"/>
  </r>
  <r>
    <s v="TASK0285"/>
    <s v="Performance Review"/>
    <s v="Carol White"/>
    <x v="1"/>
    <d v="2026-03-24T00:00:00"/>
    <d v="2026-04-08T00:00:00"/>
    <d v="2026-04-15T00:00:00"/>
    <s v="Completed"/>
    <s v="Critical"/>
    <b v="1"/>
    <n v="7"/>
    <n v="5"/>
  </r>
  <r>
    <s v="TASK0286"/>
    <s v="Product Launch"/>
    <s v="James Anderson"/>
    <x v="2"/>
    <d v="2026-02-11T00:00:00"/>
    <d v="2026-02-24T00:00:00"/>
    <d v="2026-02-22T00:00:00"/>
    <s v="Completed"/>
    <s v="Medium"/>
    <b v="0"/>
    <n v="0"/>
    <n v="1"/>
  </r>
  <r>
    <s v="TASK0287"/>
    <s v="Data Migration"/>
    <s v="Emma Brown"/>
    <x v="2"/>
    <d v="2025-01-27T00:00:00"/>
    <d v="2025-01-30T00:00:00"/>
    <d v="2025-02-05T00:00:00"/>
    <s v="Completed"/>
    <s v="Low"/>
    <b v="1"/>
    <n v="6"/>
    <n v="10"/>
  </r>
  <r>
    <s v="TASK0288"/>
    <s v="Stakeholder Report"/>
    <s v="Olivia Lewis"/>
    <x v="2"/>
    <d v="2025-09-13T00:00:00"/>
    <d v="2025-10-05T00:00:00"/>
    <m/>
    <s v="Cancelled"/>
    <s v="Medium"/>
    <b v="0"/>
    <n v="0"/>
    <n v="2"/>
  </r>
  <r>
    <s v="TASK0289"/>
    <s v="Market Analysis"/>
    <s v="Frank Wilson"/>
    <x v="3"/>
    <d v="2025-05-10T00:00:00"/>
    <d v="2025-05-21T00:00:00"/>
    <d v="2025-05-26T00:00:00"/>
    <s v="Completed"/>
    <s v="Medium"/>
    <b v="1"/>
    <n v="5"/>
    <n v="2"/>
  </r>
  <r>
    <s v="TASK0290"/>
    <s v="Budget Review"/>
    <s v="Carol White"/>
    <x v="1"/>
    <d v="2025-10-31T00:00:00"/>
    <d v="2025-11-26T00:00:00"/>
    <m/>
    <s v="Cancelled"/>
    <s v="High"/>
    <b v="0"/>
    <n v="0"/>
    <n v="2"/>
  </r>
  <r>
    <s v="TASK0291"/>
    <s v="Contract Negotiation"/>
    <s v="Bob Martinez"/>
    <x v="0"/>
    <d v="2026-01-14T00:00:00"/>
    <d v="2026-01-26T00:00:00"/>
    <m/>
    <s v="Cancelled"/>
    <s v="Low"/>
    <b v="0"/>
    <n v="0"/>
    <n v="8"/>
  </r>
  <r>
    <s v="TASK0292"/>
    <s v="Product Launch"/>
    <s v="Olivia Lewis"/>
    <x v="2"/>
    <d v="2025-06-24T00:00:00"/>
    <d v="2025-07-11T00:00:00"/>
    <m/>
    <s v="Overdue"/>
    <s v="High"/>
    <b v="1"/>
    <n v="19"/>
    <n v="4"/>
  </r>
  <r>
    <s v="TASK0293"/>
    <s v="Risk Assessment"/>
    <s v="Nathan Clark"/>
    <x v="4"/>
    <d v="2025-07-25T00:00:00"/>
    <d v="2025-08-09T00:00:00"/>
    <m/>
    <s v="In Progress"/>
    <s v="Low"/>
    <b v="0"/>
    <n v="0"/>
    <n v="8"/>
  </r>
  <r>
    <s v="TASK0294"/>
    <s v="System Upgrade"/>
    <s v="Maria Harris"/>
    <x v="1"/>
    <d v="2025-02-10T00:00:00"/>
    <d v="2025-03-04T00:00:00"/>
    <d v="2025-03-02T00:00:00"/>
    <s v="Completed"/>
    <s v="High"/>
    <b v="0"/>
    <n v="0"/>
    <n v="4"/>
  </r>
  <r>
    <s v="TASK0295"/>
    <s v="Policy Update"/>
    <s v="Isabella Taylor"/>
    <x v="4"/>
    <d v="2025-10-03T00:00:00"/>
    <d v="2025-10-08T00:00:00"/>
    <m/>
    <s v="Cancelled"/>
    <s v="Medium"/>
    <b v="0"/>
    <n v="0"/>
    <n v="8"/>
  </r>
  <r>
    <s v="TASK0296"/>
    <s v="Market Analysis"/>
    <s v="Alice Johnson"/>
    <x v="3"/>
    <d v="2026-01-04T00:00:00"/>
    <d v="2026-01-12T00:00:00"/>
    <d v="2026-01-13T00:00:00"/>
    <s v="Completed"/>
    <s v="High"/>
    <b v="1"/>
    <n v="1"/>
    <n v="3"/>
  </r>
  <r>
    <s v="TASK0297"/>
    <s v="Client Presentation"/>
    <s v="Henry Davis"/>
    <x v="1"/>
    <d v="2025-09-11T00:00:00"/>
    <d v="2025-09-15T00:00:00"/>
    <m/>
    <s v="Cancelled"/>
    <s v="Low"/>
    <b v="0"/>
    <n v="0"/>
    <n v="1"/>
  </r>
  <r>
    <s v="TASK0298"/>
    <s v="System Upgrade"/>
    <s v="Frank Wilson"/>
    <x v="3"/>
    <d v="2025-09-13T00:00:00"/>
    <d v="2025-09-25T00:00:00"/>
    <d v="2025-10-02T00:00:00"/>
    <s v="Completed"/>
    <s v="Critical"/>
    <b v="1"/>
    <n v="7"/>
    <n v="2"/>
  </r>
  <r>
    <s v="TASK0299"/>
    <s v="Product Launch"/>
    <s v="David Lee"/>
    <x v="4"/>
    <d v="2025-12-27T00:00:00"/>
    <d v="2026-01-22T00:00:00"/>
    <d v="2026-01-26T00:00:00"/>
    <s v="Completed"/>
    <s v="Medium"/>
    <b v="1"/>
    <n v="4"/>
    <n v="6"/>
  </r>
  <r>
    <s v="TASK0300"/>
    <s v="System Upgrade"/>
    <s v="James Anderson"/>
    <x v="2"/>
    <d v="2025-02-10T00:00:00"/>
    <d v="2025-02-25T00:00:00"/>
    <d v="2025-02-25T00:00:00"/>
    <s v="Completed"/>
    <s v="Low"/>
    <b v="0"/>
    <n v="0"/>
    <n v="9"/>
  </r>
  <r>
    <s v="TASK0301"/>
    <s v="Compliance Audit"/>
    <s v="Grace Chen"/>
    <x v="0"/>
    <d v="2025-12-13T00:00:00"/>
    <d v="2025-12-19T00:00:00"/>
    <d v="2025-12-22T00:00:00"/>
    <s v="Completed"/>
    <s v="Low"/>
    <b v="1"/>
    <n v="3"/>
    <n v="5"/>
  </r>
  <r>
    <s v="TASK0302"/>
    <s v="Team Meeting"/>
    <s v="Grace Chen"/>
    <x v="0"/>
    <d v="2025-10-30T00:00:00"/>
    <d v="2025-11-06T00:00:00"/>
    <m/>
    <s v="In Progress"/>
    <s v="High"/>
    <b v="0"/>
    <n v="0"/>
    <n v="2"/>
  </r>
  <r>
    <s v="TASK0303"/>
    <s v="Team Meeting"/>
    <s v="Grace Chen"/>
    <x v="0"/>
    <d v="2025-11-18T00:00:00"/>
    <d v="2025-12-16T00:00:00"/>
    <m/>
    <s v="In Progress"/>
    <s v="High"/>
    <b v="0"/>
    <n v="0"/>
    <n v="10"/>
  </r>
  <r>
    <s v="TASK0304"/>
    <s v="Product Launch"/>
    <s v="Liam Jackson"/>
    <x v="0"/>
    <d v="2025-08-22T00:00:00"/>
    <d v="2025-08-25T00:00:00"/>
    <d v="2025-08-28T00:00:00"/>
    <s v="Completed"/>
    <s v="High"/>
    <b v="1"/>
    <n v="3"/>
    <n v="2"/>
  </r>
  <r>
    <s v="TASK0305"/>
    <s v="Product Launch"/>
    <s v="Olivia Lewis"/>
    <x v="2"/>
    <d v="2025-08-04T00:00:00"/>
    <d v="2025-08-31T00:00:00"/>
    <d v="2025-09-02T00:00:00"/>
    <s v="Completed"/>
    <s v="Low"/>
    <b v="1"/>
    <n v="2"/>
    <n v="5"/>
  </r>
  <r>
    <s v="TASK0306"/>
    <s v="Security Patch"/>
    <s v="Olivia Lewis"/>
    <x v="2"/>
    <d v="2025-10-14T00:00:00"/>
    <d v="2025-11-02T00:00:00"/>
    <d v="2025-10-31T00:00:00"/>
    <s v="Completed"/>
    <s v="Medium"/>
    <b v="0"/>
    <n v="0"/>
    <n v="1"/>
  </r>
  <r>
    <s v="TASK0307"/>
    <s v="Data Migration"/>
    <s v="Isabella Taylor"/>
    <x v="4"/>
    <d v="2025-08-03T00:00:00"/>
    <d v="2025-08-25T00:00:00"/>
    <m/>
    <s v="Overdue"/>
    <s v="Medium"/>
    <b v="1"/>
    <n v="2"/>
    <n v="10"/>
  </r>
  <r>
    <s v="TASK0308"/>
    <s v="Code Review"/>
    <s v="Maria Harris"/>
    <x v="1"/>
    <d v="2025-07-12T00:00:00"/>
    <d v="2025-07-27T00:00:00"/>
    <m/>
    <s v="Overdue"/>
    <s v="Medium"/>
    <b v="1"/>
    <n v="13"/>
    <n v="9"/>
  </r>
  <r>
    <s v="TASK0309"/>
    <s v="Process Improvement"/>
    <s v="Carol White"/>
    <x v="1"/>
    <d v="2025-10-26T00:00:00"/>
    <d v="2025-11-19T00:00:00"/>
    <d v="2025-11-23T00:00:00"/>
    <s v="Completed"/>
    <s v="Medium"/>
    <b v="1"/>
    <n v="4"/>
    <n v="9"/>
  </r>
  <r>
    <s v="TASK0310"/>
    <s v="Contract Negotiation"/>
    <s v="Nathan Clark"/>
    <x v="4"/>
    <d v="2026-01-01T00:00:00"/>
    <d v="2026-01-13T00:00:00"/>
    <d v="2026-01-16T00:00:00"/>
    <s v="Completed"/>
    <s v="High"/>
    <b v="1"/>
    <n v="3"/>
    <n v="10"/>
  </r>
  <r>
    <s v="TASK0311"/>
    <s v="Training Session"/>
    <s v="Alice Johnson"/>
    <x v="3"/>
    <d v="2025-12-02T00:00:00"/>
    <d v="2025-12-14T00:00:00"/>
    <d v="2025-12-13T00:00:00"/>
    <s v="Completed"/>
    <s v="Medium"/>
    <b v="0"/>
    <n v="0"/>
    <n v="8"/>
  </r>
  <r>
    <s v="TASK0312"/>
    <s v="Client Presentation"/>
    <s v="Frank Wilson"/>
    <x v="3"/>
    <d v="2026-02-07T00:00:00"/>
    <d v="2026-03-01T00:00:00"/>
    <m/>
    <s v="Overdue"/>
    <s v="Medium"/>
    <b v="1"/>
    <n v="6"/>
    <n v="2"/>
  </r>
  <r>
    <s v="TASK0313"/>
    <s v="Data Migration"/>
    <s v="Isabella Taylor"/>
    <x v="4"/>
    <d v="2025-03-30T00:00:00"/>
    <d v="2025-04-12T00:00:00"/>
    <d v="2025-04-12T00:00:00"/>
    <s v="Completed"/>
    <s v="Low"/>
    <b v="0"/>
    <n v="0"/>
    <n v="2"/>
  </r>
  <r>
    <s v="TASK0314"/>
    <s v="Team Meeting"/>
    <s v="Emma Brown"/>
    <x v="2"/>
    <d v="2025-11-15T00:00:00"/>
    <d v="2025-12-10T00:00:00"/>
    <m/>
    <s v="Overdue"/>
    <s v="Low"/>
    <b v="1"/>
    <n v="4"/>
    <n v="6"/>
  </r>
  <r>
    <s v="TASK0315"/>
    <s v="Performance Review"/>
    <s v="Liam Jackson"/>
    <x v="0"/>
    <d v="2025-05-04T00:00:00"/>
    <d v="2025-05-13T00:00:00"/>
    <d v="2025-05-14T00:00:00"/>
    <s v="Completed"/>
    <s v="Medium"/>
    <b v="1"/>
    <n v="1"/>
    <n v="4"/>
  </r>
  <r>
    <s v="TASK0316"/>
    <s v="System Upgrade"/>
    <s v="Frank Wilson"/>
    <x v="3"/>
    <d v="2025-02-01T00:00:00"/>
    <d v="2025-02-15T00:00:00"/>
    <m/>
    <s v="In Progress"/>
    <s v="Medium"/>
    <b v="0"/>
    <n v="0"/>
    <n v="2"/>
  </r>
  <r>
    <s v="TASK0317"/>
    <s v="Policy Update"/>
    <s v="Henry Davis"/>
    <x v="1"/>
    <d v="2025-04-03T00:00:00"/>
    <d v="2025-04-18T00:00:00"/>
    <m/>
    <s v="Overdue"/>
    <s v="Medium"/>
    <b v="1"/>
    <n v="9"/>
    <n v="2"/>
  </r>
  <r>
    <s v="TASK0318"/>
    <s v="Team Meeting"/>
    <s v="Maria Harris"/>
    <x v="1"/>
    <d v="2025-04-15T00:00:00"/>
    <d v="2025-04-30T00:00:00"/>
    <d v="2025-05-01T00:00:00"/>
    <s v="Completed"/>
    <s v="High"/>
    <b v="1"/>
    <n v="1"/>
    <n v="2"/>
  </r>
  <r>
    <s v="TASK0319"/>
    <s v="Compliance Audit"/>
    <s v="Frank Wilson"/>
    <x v="3"/>
    <d v="2025-03-24T00:00:00"/>
    <d v="2025-04-03T00:00:00"/>
    <m/>
    <s v="Overdue"/>
    <s v="High"/>
    <b v="1"/>
    <n v="7"/>
    <n v="2"/>
  </r>
  <r>
    <s v="TASK0320"/>
    <s v="Performance Review"/>
    <s v="Bob Martinez"/>
    <x v="0"/>
    <d v="2026-02-10T00:00:00"/>
    <d v="2026-02-19T00:00:00"/>
    <d v="2026-02-22T00:00:00"/>
    <s v="Completed"/>
    <s v="Medium"/>
    <b v="1"/>
    <n v="3"/>
    <n v="9"/>
  </r>
  <r>
    <s v="TASK0321"/>
    <s v="Contract Negotiation"/>
    <s v="Liam Jackson"/>
    <x v="0"/>
    <d v="2025-01-11T00:00:00"/>
    <d v="2025-02-06T00:00:00"/>
    <d v="2025-02-10T00:00:00"/>
    <s v="Completed"/>
    <s v="Low"/>
    <b v="1"/>
    <n v="4"/>
    <n v="7"/>
  </r>
  <r>
    <s v="TASK0322"/>
    <s v="Code Review"/>
    <s v="Olivia Lewis"/>
    <x v="2"/>
    <d v="2025-08-15T00:00:00"/>
    <d v="2025-09-08T00:00:00"/>
    <m/>
    <s v="Overdue"/>
    <s v="Medium"/>
    <b v="1"/>
    <n v="7"/>
    <n v="9"/>
  </r>
  <r>
    <s v="TASK0323"/>
    <s v="Risk Assessment"/>
    <s v="Grace Chen"/>
    <x v="0"/>
    <d v="2025-07-30T00:00:00"/>
    <d v="2025-08-15T00:00:00"/>
    <d v="2025-08-17T00:00:00"/>
    <s v="Completed"/>
    <s v="Critical"/>
    <b v="1"/>
    <n v="2"/>
    <n v="6"/>
  </r>
  <r>
    <s v="TASK0324"/>
    <s v="Policy Update"/>
    <s v="Grace Chen"/>
    <x v="0"/>
    <d v="2026-03-22T00:00:00"/>
    <d v="2026-03-27T00:00:00"/>
    <m/>
    <s v="In Progress"/>
    <s v="Medium"/>
    <b v="0"/>
    <n v="0"/>
    <n v="7"/>
  </r>
  <r>
    <s v="TASK0325"/>
    <s v="Dashboard Setup"/>
    <s v="Karen Thomas"/>
    <x v="3"/>
    <d v="2026-03-24T00:00:00"/>
    <d v="2026-04-14T00:00:00"/>
    <m/>
    <s v="Overdue"/>
    <s v="Medium"/>
    <b v="1"/>
    <n v="17"/>
    <n v="3"/>
  </r>
  <r>
    <s v="TASK0326"/>
    <s v="Security Patch"/>
    <s v="Bob Martinez"/>
    <x v="0"/>
    <d v="2025-05-01T00:00:00"/>
    <d v="2025-05-26T00:00:00"/>
    <d v="2025-05-30T00:00:00"/>
    <s v="Completed"/>
    <s v="High"/>
    <b v="1"/>
    <n v="4"/>
    <n v="9"/>
  </r>
  <r>
    <s v="TASK0327"/>
    <s v="Contract Negotiation"/>
    <s v="James Anderson"/>
    <x v="2"/>
    <d v="2025-05-14T00:00:00"/>
    <d v="2025-05-22T00:00:00"/>
    <m/>
    <s v="In Progress"/>
    <s v="High"/>
    <b v="0"/>
    <n v="0"/>
    <n v="10"/>
  </r>
  <r>
    <s v="TASK0328"/>
    <s v="Code Review"/>
    <s v="Carol White"/>
    <x v="1"/>
    <d v="2025-12-11T00:00:00"/>
    <d v="2025-12-24T00:00:00"/>
    <d v="2025-12-22T00:00:00"/>
    <s v="Completed"/>
    <s v="High"/>
    <b v="0"/>
    <n v="0"/>
    <n v="7"/>
  </r>
  <r>
    <s v="TASK0329"/>
    <s v="Team Meeting"/>
    <s v="Maria Harris"/>
    <x v="1"/>
    <d v="2025-04-12T00:00:00"/>
    <d v="2025-05-06T00:00:00"/>
    <d v="2025-05-13T00:00:00"/>
    <s v="Completed"/>
    <s v="Medium"/>
    <b v="1"/>
    <n v="7"/>
    <n v="8"/>
  </r>
  <r>
    <s v="TASK0330"/>
    <s v="Vendor Evaluation"/>
    <s v="David Lee"/>
    <x v="4"/>
    <d v="2026-03-26T00:00:00"/>
    <d v="2026-04-19T00:00:00"/>
    <d v="2026-04-21T00:00:00"/>
    <s v="Completed"/>
    <s v="Low"/>
    <b v="1"/>
    <n v="2"/>
    <n v="3"/>
  </r>
  <r>
    <s v="TASK0331"/>
    <s v="Data Migration"/>
    <s v="David Lee"/>
    <x v="4"/>
    <d v="2025-01-03T00:00:00"/>
    <d v="2025-01-17T00:00:00"/>
    <m/>
    <s v="Cancelled"/>
    <s v="High"/>
    <b v="0"/>
    <n v="0"/>
    <n v="6"/>
  </r>
  <r>
    <s v="TASK0332"/>
    <s v="Contract Negotiation"/>
    <s v="Olivia Lewis"/>
    <x v="2"/>
    <d v="2025-12-14T00:00:00"/>
    <d v="2026-01-01T00:00:00"/>
    <m/>
    <s v="Overdue"/>
    <s v="High"/>
    <b v="1"/>
    <n v="8"/>
    <n v="5"/>
  </r>
  <r>
    <s v="TASK0333"/>
    <s v="Training Session"/>
    <s v="Liam Jackson"/>
    <x v="0"/>
    <d v="2025-09-15T00:00:00"/>
    <d v="2025-09-27T00:00:00"/>
    <d v="2025-10-04T00:00:00"/>
    <s v="Completed"/>
    <s v="High"/>
    <b v="1"/>
    <n v="7"/>
    <n v="9"/>
  </r>
  <r>
    <s v="TASK0334"/>
    <s v="Security Patch"/>
    <s v="Nathan Clark"/>
    <x v="4"/>
    <d v="2025-12-31T00:00:00"/>
    <d v="2026-01-23T00:00:00"/>
    <d v="2026-01-21T00:00:00"/>
    <s v="Completed"/>
    <s v="High"/>
    <b v="0"/>
    <n v="0"/>
    <n v="1"/>
  </r>
  <r>
    <s v="TASK0335"/>
    <s v="Client Presentation"/>
    <s v="Carol White"/>
    <x v="1"/>
    <d v="2025-03-26T00:00:00"/>
    <d v="2025-04-02T00:00:00"/>
    <d v="2025-04-01T00:00:00"/>
    <s v="Completed"/>
    <s v="Medium"/>
    <b v="0"/>
    <n v="0"/>
    <n v="4"/>
  </r>
  <r>
    <s v="TASK0336"/>
    <s v="Product Launch"/>
    <s v="Isabella Taylor"/>
    <x v="4"/>
    <d v="2025-10-17T00:00:00"/>
    <d v="2025-11-08T00:00:00"/>
    <m/>
    <s v="Overdue"/>
    <s v="Medium"/>
    <b v="1"/>
    <n v="14"/>
    <n v="5"/>
  </r>
  <r>
    <s v="TASK0337"/>
    <s v="Client Presentation"/>
    <s v="Carol White"/>
    <x v="1"/>
    <d v="2026-02-20T00:00:00"/>
    <d v="2026-02-24T00:00:00"/>
    <d v="2026-02-24T00:00:00"/>
    <s v="Completed"/>
    <s v="Medium"/>
    <b v="0"/>
    <n v="0"/>
    <n v="10"/>
  </r>
  <r>
    <s v="TASK0338"/>
    <s v="Process Improvement"/>
    <s v="Olivia Lewis"/>
    <x v="2"/>
    <d v="2025-07-30T00:00:00"/>
    <d v="2025-08-05T00:00:00"/>
    <d v="2025-08-05T00:00:00"/>
    <s v="Completed"/>
    <s v="Medium"/>
    <b v="0"/>
    <n v="0"/>
    <n v="8"/>
  </r>
  <r>
    <s v="TASK0339"/>
    <s v="Team Meeting"/>
    <s v="Carol White"/>
    <x v="1"/>
    <d v="2025-12-25T00:00:00"/>
    <d v="2026-01-02T00:00:00"/>
    <d v="2026-01-09T00:00:00"/>
    <s v="Completed"/>
    <s v="Medium"/>
    <b v="1"/>
    <n v="7"/>
    <n v="2"/>
  </r>
  <r>
    <s v="TASK0340"/>
    <s v="System Upgrade"/>
    <s v="Isabella Taylor"/>
    <x v="4"/>
    <d v="2025-04-25T00:00:00"/>
    <d v="2025-05-05T00:00:00"/>
    <d v="2025-05-04T00:00:00"/>
    <s v="Completed"/>
    <s v="High"/>
    <b v="0"/>
    <n v="0"/>
    <n v="9"/>
  </r>
  <r>
    <s v="TASK0341"/>
    <s v="Process Improvement"/>
    <s v="Alice Johnson"/>
    <x v="3"/>
    <d v="2026-01-17T00:00:00"/>
    <d v="2026-02-06T00:00:00"/>
    <d v="2026-02-07T00:00:00"/>
    <s v="Completed"/>
    <s v="Medium"/>
    <b v="1"/>
    <n v="1"/>
    <n v="10"/>
  </r>
  <r>
    <s v="TASK0342"/>
    <s v="Process Improvement"/>
    <s v="David Lee"/>
    <x v="4"/>
    <d v="2025-12-19T00:00:00"/>
    <d v="2025-12-26T00:00:00"/>
    <m/>
    <s v="In Progress"/>
    <s v="High"/>
    <b v="0"/>
    <n v="0"/>
    <n v="1"/>
  </r>
  <r>
    <s v="TASK0343"/>
    <s v="Policy Update"/>
    <s v="David Lee"/>
    <x v="4"/>
    <d v="2025-02-02T00:00:00"/>
    <d v="2025-02-11T00:00:00"/>
    <m/>
    <s v="Overdue"/>
    <s v="Low"/>
    <b v="1"/>
    <n v="10"/>
    <n v="3"/>
  </r>
  <r>
    <s v="TASK0344"/>
    <s v="Contract Negotiation"/>
    <s v="Alice Johnson"/>
    <x v="3"/>
    <d v="2025-08-30T00:00:00"/>
    <d v="2025-09-22T00:00:00"/>
    <d v="2025-09-26T00:00:00"/>
    <s v="Completed"/>
    <s v="Low"/>
    <b v="1"/>
    <n v="4"/>
    <n v="1"/>
  </r>
  <r>
    <s v="TASK0345"/>
    <s v="Security Patch"/>
    <s v="Bob Martinez"/>
    <x v="0"/>
    <d v="2026-03-15T00:00:00"/>
    <d v="2026-03-29T00:00:00"/>
    <m/>
    <s v="Cancelled"/>
    <s v="Medium"/>
    <b v="0"/>
    <n v="0"/>
    <n v="2"/>
  </r>
  <r>
    <s v="TASK0346"/>
    <s v="Quarterly Report"/>
    <s v="Alice Johnson"/>
    <x v="3"/>
    <d v="2026-01-05T00:00:00"/>
    <d v="2026-01-12T00:00:00"/>
    <m/>
    <s v="Overdue"/>
    <s v="Medium"/>
    <b v="1"/>
    <n v="15"/>
    <n v="9"/>
  </r>
  <r>
    <s v="TASK0347"/>
    <s v="Compliance Audit"/>
    <s v="James Anderson"/>
    <x v="2"/>
    <d v="2025-08-15T00:00:00"/>
    <d v="2025-09-05T00:00:00"/>
    <d v="2025-09-08T00:00:00"/>
    <s v="Completed"/>
    <s v="High"/>
    <b v="1"/>
    <n v="3"/>
    <n v="3"/>
  </r>
  <r>
    <s v="TASK0348"/>
    <s v="Market Analysis"/>
    <s v="Henry Davis"/>
    <x v="1"/>
    <d v="2026-02-15T00:00:00"/>
    <d v="2026-03-11T00:00:00"/>
    <m/>
    <s v="Overdue"/>
    <s v="High"/>
    <b v="1"/>
    <n v="5"/>
    <n v="6"/>
  </r>
  <r>
    <s v="TASK0349"/>
    <s v="Dashboard Setup"/>
    <s v="Liam Jackson"/>
    <x v="0"/>
    <d v="2025-03-26T00:00:00"/>
    <d v="2025-04-07T00:00:00"/>
    <d v="2025-04-12T00:00:00"/>
    <s v="Completed"/>
    <s v="Medium"/>
    <b v="1"/>
    <n v="5"/>
    <n v="8"/>
  </r>
  <r>
    <s v="TASK0350"/>
    <s v="Team Meeting"/>
    <s v="Grace Chen"/>
    <x v="0"/>
    <d v="2026-03-19T00:00:00"/>
    <d v="2026-04-01T00:00:00"/>
    <m/>
    <s v="Cancelled"/>
    <s v="Medium"/>
    <b v="0"/>
    <n v="0"/>
    <n v="10"/>
  </r>
  <r>
    <s v="TASK0351"/>
    <s v="Market Analysis"/>
    <s v="Frank Wilson"/>
    <x v="3"/>
    <d v="2025-04-10T00:00:00"/>
    <d v="2025-04-15T00:00:00"/>
    <d v="2025-04-18T00:00:00"/>
    <s v="Completed"/>
    <s v="Medium"/>
    <b v="1"/>
    <n v="3"/>
    <n v="1"/>
  </r>
  <r>
    <s v="TASK0352"/>
    <s v="Dashboard Setup"/>
    <s v="Grace Chen"/>
    <x v="0"/>
    <d v="2025-09-28T00:00:00"/>
    <d v="2025-10-11T00:00:00"/>
    <d v="2025-10-15T00:00:00"/>
    <s v="Completed"/>
    <s v="Low"/>
    <b v="1"/>
    <n v="4"/>
    <n v="6"/>
  </r>
  <r>
    <s v="TASK0353"/>
    <s v="Dashboard Setup"/>
    <s v="Olivia Lewis"/>
    <x v="2"/>
    <d v="2025-04-04T00:00:00"/>
    <d v="2025-04-16T00:00:00"/>
    <d v="2025-04-16T00:00:00"/>
    <s v="Completed"/>
    <s v="Low"/>
    <b v="0"/>
    <n v="0"/>
    <n v="3"/>
  </r>
  <r>
    <s v="TASK0354"/>
    <s v="Quarterly Report"/>
    <s v="James Anderson"/>
    <x v="2"/>
    <d v="2025-07-24T00:00:00"/>
    <d v="2025-08-01T00:00:00"/>
    <m/>
    <s v="Overdue"/>
    <s v="Medium"/>
    <b v="1"/>
    <n v="18"/>
    <n v="10"/>
  </r>
  <r>
    <s v="TASK0355"/>
    <s v="Budget Review"/>
    <s v="Karen Thomas"/>
    <x v="3"/>
    <d v="2025-07-23T00:00:00"/>
    <d v="2025-08-04T00:00:00"/>
    <d v="2025-08-10T00:00:00"/>
    <s v="Completed"/>
    <s v="Medium"/>
    <b v="1"/>
    <n v="6"/>
    <n v="5"/>
  </r>
  <r>
    <s v="TASK0356"/>
    <s v="Code Review"/>
    <s v="Maria Harris"/>
    <x v="1"/>
    <d v="2026-01-26T00:00:00"/>
    <d v="2026-01-30T00:00:00"/>
    <d v="2026-01-31T00:00:00"/>
    <s v="Completed"/>
    <s v="Critical"/>
    <b v="1"/>
    <n v="1"/>
    <n v="5"/>
  </r>
  <r>
    <s v="TASK0357"/>
    <s v="Security Patch"/>
    <s v="Liam Jackson"/>
    <x v="0"/>
    <d v="2025-11-27T00:00:00"/>
    <d v="2025-12-23T00:00:00"/>
    <m/>
    <s v="Overdue"/>
    <s v="High"/>
    <b v="1"/>
    <n v="6"/>
    <n v="3"/>
  </r>
  <r>
    <s v="TASK0358"/>
    <s v="Client Presentation"/>
    <s v="David Lee"/>
    <x v="4"/>
    <d v="2025-12-24T00:00:00"/>
    <d v="2026-01-02T00:00:00"/>
    <m/>
    <s v="Overdue"/>
    <s v="Medium"/>
    <b v="1"/>
    <n v="8"/>
    <n v="8"/>
  </r>
  <r>
    <s v="TASK0359"/>
    <s v="Contract Negotiation"/>
    <s v="Alice Johnson"/>
    <x v="3"/>
    <d v="2025-06-17T00:00:00"/>
    <d v="2025-07-10T00:00:00"/>
    <m/>
    <s v="In Progress"/>
    <s v="Low"/>
    <b v="0"/>
    <n v="0"/>
    <n v="2"/>
  </r>
  <r>
    <s v="TASK0360"/>
    <s v="Budget Review"/>
    <s v="Nathan Clark"/>
    <x v="4"/>
    <d v="2025-10-16T00:00:00"/>
    <d v="2025-10-27T00:00:00"/>
    <d v="2025-10-27T00:00:00"/>
    <s v="Completed"/>
    <s v="Medium"/>
    <b v="0"/>
    <n v="0"/>
    <n v="6"/>
  </r>
  <r>
    <s v="TASK0361"/>
    <s v="Market Analysis"/>
    <s v="Alice Johnson"/>
    <x v="3"/>
    <d v="2025-09-18T00:00:00"/>
    <d v="2025-09-24T00:00:00"/>
    <d v="2025-09-23T00:00:00"/>
    <s v="Completed"/>
    <s v="Low"/>
    <b v="0"/>
    <n v="0"/>
    <n v="9"/>
  </r>
  <r>
    <s v="TASK0362"/>
    <s v="Policy Update"/>
    <s v="David Lee"/>
    <x v="4"/>
    <d v="2025-05-30T00:00:00"/>
    <d v="2025-06-24T00:00:00"/>
    <m/>
    <s v="Cancelled"/>
    <s v="Low"/>
    <b v="0"/>
    <n v="0"/>
    <n v="10"/>
  </r>
  <r>
    <s v="TASK0363"/>
    <s v="System Upgrade"/>
    <s v="Carol White"/>
    <x v="1"/>
    <d v="2025-06-21T00:00:00"/>
    <d v="2025-06-25T00:00:00"/>
    <d v="2025-06-23T00:00:00"/>
    <s v="Completed"/>
    <s v="High"/>
    <b v="0"/>
    <n v="0"/>
    <n v="2"/>
  </r>
  <r>
    <s v="TASK0364"/>
    <s v="Policy Update"/>
    <s v="Olivia Lewis"/>
    <x v="2"/>
    <d v="2025-11-27T00:00:00"/>
    <d v="2025-12-15T00:00:00"/>
    <d v="2025-12-13T00:00:00"/>
    <s v="Completed"/>
    <s v="Critical"/>
    <b v="0"/>
    <n v="0"/>
    <n v="6"/>
  </r>
  <r>
    <s v="TASK0365"/>
    <s v="Contract Negotiation"/>
    <s v="Liam Jackson"/>
    <x v="0"/>
    <d v="2025-07-17T00:00:00"/>
    <d v="2025-08-03T00:00:00"/>
    <m/>
    <s v="Overdue"/>
    <s v="Medium"/>
    <b v="1"/>
    <n v="18"/>
    <n v="4"/>
  </r>
  <r>
    <s v="TASK0366"/>
    <s v="Risk Assessment"/>
    <s v="Karen Thomas"/>
    <x v="3"/>
    <d v="2025-01-31T00:00:00"/>
    <d v="2025-02-07T00:00:00"/>
    <d v="2025-02-09T00:00:00"/>
    <s v="Completed"/>
    <s v="Medium"/>
    <b v="1"/>
    <n v="2"/>
    <n v="2"/>
  </r>
  <r>
    <s v="TASK0367"/>
    <s v="Client Presentation"/>
    <s v="Liam Jackson"/>
    <x v="0"/>
    <d v="2025-12-26T00:00:00"/>
    <d v="2026-01-20T00:00:00"/>
    <d v="2026-01-24T00:00:00"/>
    <s v="Completed"/>
    <s v="High"/>
    <b v="1"/>
    <n v="4"/>
    <n v="8"/>
  </r>
  <r>
    <s v="TASK0368"/>
    <s v="Budget Review"/>
    <s v="Emma Brown"/>
    <x v="2"/>
    <d v="2026-02-01T00:00:00"/>
    <d v="2026-02-24T00:00:00"/>
    <m/>
    <s v="Overdue"/>
    <s v="Medium"/>
    <b v="1"/>
    <n v="4"/>
    <n v="9"/>
  </r>
  <r>
    <s v="TASK0369"/>
    <s v="Code Review"/>
    <s v="Emma Brown"/>
    <x v="2"/>
    <d v="2025-02-20T00:00:00"/>
    <d v="2025-03-02T00:00:00"/>
    <m/>
    <s v="In Progress"/>
    <s v="High"/>
    <b v="0"/>
    <n v="0"/>
    <n v="7"/>
  </r>
  <r>
    <s v="TASK0370"/>
    <s v="Data Migration"/>
    <s v="Olivia Lewis"/>
    <x v="2"/>
    <d v="2025-10-07T00:00:00"/>
    <d v="2025-10-22T00:00:00"/>
    <m/>
    <s v="In Progress"/>
    <s v="High"/>
    <b v="0"/>
    <n v="0"/>
    <n v="6"/>
  </r>
  <r>
    <s v="TASK0371"/>
    <s v="Vendor Evaluation"/>
    <s v="James Anderson"/>
    <x v="2"/>
    <d v="2025-10-05T00:00:00"/>
    <d v="2025-10-26T00:00:00"/>
    <d v="2025-10-29T00:00:00"/>
    <s v="Completed"/>
    <s v="Medium"/>
    <b v="1"/>
    <n v="3"/>
    <n v="4"/>
  </r>
  <r>
    <s v="TASK0372"/>
    <s v="Process Improvement"/>
    <s v="Karen Thomas"/>
    <x v="3"/>
    <d v="2025-07-15T00:00:00"/>
    <d v="2025-07-20T00:00:00"/>
    <d v="2025-07-27T00:00:00"/>
    <s v="Completed"/>
    <s v="Critical"/>
    <b v="1"/>
    <n v="7"/>
    <n v="1"/>
  </r>
  <r>
    <s v="TASK0373"/>
    <s v="Client Presentation"/>
    <s v="David Lee"/>
    <x v="4"/>
    <d v="2026-01-16T00:00:00"/>
    <d v="2026-02-10T00:00:00"/>
    <m/>
    <s v="Overdue"/>
    <s v="Medium"/>
    <b v="1"/>
    <n v="9"/>
    <n v="8"/>
  </r>
  <r>
    <s v="TASK0374"/>
    <s v="Risk Assessment"/>
    <s v="Isabella Taylor"/>
    <x v="4"/>
    <d v="2025-02-07T00:00:00"/>
    <d v="2025-02-26T00:00:00"/>
    <d v="2025-03-03T00:00:00"/>
    <s v="Completed"/>
    <s v="Medium"/>
    <b v="1"/>
    <n v="5"/>
    <n v="6"/>
  </r>
  <r>
    <s v="TASK0375"/>
    <s v="Contract Negotiation"/>
    <s v="Nathan Clark"/>
    <x v="4"/>
    <d v="2026-03-26T00:00:00"/>
    <d v="2026-04-17T00:00:00"/>
    <d v="2026-04-16T00:00:00"/>
    <s v="Completed"/>
    <s v="Medium"/>
    <b v="0"/>
    <n v="0"/>
    <n v="7"/>
  </r>
  <r>
    <s v="TASK0376"/>
    <s v="Code Review"/>
    <s v="Bob Martinez"/>
    <x v="0"/>
    <d v="2025-05-31T00:00:00"/>
    <d v="2025-06-16T00:00:00"/>
    <d v="2025-06-19T00:00:00"/>
    <s v="Completed"/>
    <s v="Medium"/>
    <b v="1"/>
    <n v="3"/>
    <n v="6"/>
  </r>
  <r>
    <s v="TASK0377"/>
    <s v="Team Meeting"/>
    <s v="Henry Davis"/>
    <x v="1"/>
    <d v="2025-07-11T00:00:00"/>
    <d v="2025-07-19T00:00:00"/>
    <d v="2025-07-18T00:00:00"/>
    <s v="Completed"/>
    <s v="Low"/>
    <b v="0"/>
    <n v="0"/>
    <n v="6"/>
  </r>
  <r>
    <s v="TASK0378"/>
    <s v="Dashboard Setup"/>
    <s v="Bob Martinez"/>
    <x v="0"/>
    <d v="2025-08-31T00:00:00"/>
    <d v="2025-09-22T00:00:00"/>
    <d v="2025-09-27T00:00:00"/>
    <s v="Completed"/>
    <s v="Critical"/>
    <b v="1"/>
    <n v="5"/>
    <n v="4"/>
  </r>
  <r>
    <s v="TASK0379"/>
    <s v="Code Review"/>
    <s v="Alice Johnson"/>
    <x v="3"/>
    <d v="2026-03-12T00:00:00"/>
    <d v="2026-03-19T00:00:00"/>
    <d v="2026-03-21T00:00:00"/>
    <s v="Completed"/>
    <s v="Medium"/>
    <b v="1"/>
    <n v="2"/>
    <n v="2"/>
  </r>
  <r>
    <s v="TASK0380"/>
    <s v="Process Improvement"/>
    <s v="James Anderson"/>
    <x v="2"/>
    <d v="2025-05-11T00:00:00"/>
    <d v="2025-06-03T00:00:00"/>
    <m/>
    <s v="In Progress"/>
    <s v="High"/>
    <b v="0"/>
    <n v="0"/>
    <n v="4"/>
  </r>
  <r>
    <s v="TASK0381"/>
    <s v="Team Meeting"/>
    <s v="Carol White"/>
    <x v="1"/>
    <d v="2025-12-07T00:00:00"/>
    <d v="2025-12-23T00:00:00"/>
    <d v="2025-12-29T00:00:00"/>
    <s v="Completed"/>
    <s v="Low"/>
    <b v="1"/>
    <n v="6"/>
    <n v="3"/>
  </r>
  <r>
    <s v="TASK0382"/>
    <s v="Compliance Audit"/>
    <s v="Frank Wilson"/>
    <x v="3"/>
    <d v="2025-04-23T00:00:00"/>
    <d v="2025-05-14T00:00:00"/>
    <d v="2025-05-14T00:00:00"/>
    <s v="Completed"/>
    <s v="High"/>
    <b v="0"/>
    <n v="0"/>
    <n v="10"/>
  </r>
  <r>
    <s v="TASK0383"/>
    <s v="System Upgrade"/>
    <s v="James Anderson"/>
    <x v="2"/>
    <d v="2025-08-26T00:00:00"/>
    <d v="2025-09-07T00:00:00"/>
    <m/>
    <s v="Cancelled"/>
    <s v="Low"/>
    <b v="0"/>
    <n v="0"/>
    <n v="6"/>
  </r>
  <r>
    <s v="TASK0384"/>
    <s v="Client Presentation"/>
    <s v="James Anderson"/>
    <x v="2"/>
    <d v="2025-06-20T00:00:00"/>
    <d v="2025-07-07T00:00:00"/>
    <m/>
    <s v="Cancelled"/>
    <s v="Low"/>
    <b v="0"/>
    <n v="0"/>
    <n v="4"/>
  </r>
  <r>
    <s v="TASK0385"/>
    <s v="Client Presentation"/>
    <s v="Karen Thomas"/>
    <x v="3"/>
    <d v="2026-03-20T00:00:00"/>
    <d v="2026-04-04T00:00:00"/>
    <d v="2026-04-11T00:00:00"/>
    <s v="Completed"/>
    <s v="High"/>
    <b v="1"/>
    <n v="7"/>
    <n v="9"/>
  </r>
  <r>
    <s v="TASK0386"/>
    <s v="Quarterly Report"/>
    <s v="Nathan Clark"/>
    <x v="4"/>
    <d v="2025-05-25T00:00:00"/>
    <d v="2025-06-14T00:00:00"/>
    <d v="2025-06-17T00:00:00"/>
    <s v="Completed"/>
    <s v="Medium"/>
    <b v="1"/>
    <n v="3"/>
    <n v="10"/>
  </r>
  <r>
    <s v="TASK0387"/>
    <s v="Process Improvement"/>
    <s v="Bob Martinez"/>
    <x v="0"/>
    <d v="2025-07-03T00:00:00"/>
    <d v="2025-07-24T00:00:00"/>
    <m/>
    <s v="In Progress"/>
    <s v="Medium"/>
    <b v="0"/>
    <n v="0"/>
    <n v="6"/>
  </r>
  <r>
    <s v="TASK0388"/>
    <s v="System Upgrade"/>
    <s v="Liam Jackson"/>
    <x v="0"/>
    <d v="2025-07-13T00:00:00"/>
    <d v="2025-07-21T00:00:00"/>
    <d v="2025-07-24T00:00:00"/>
    <s v="Completed"/>
    <s v="High"/>
    <b v="1"/>
    <n v="3"/>
    <n v="6"/>
  </r>
  <r>
    <s v="TASK0389"/>
    <s v="Dashboard Setup"/>
    <s v="Maria Harris"/>
    <x v="1"/>
    <d v="2026-03-20T00:00:00"/>
    <d v="2026-04-06T00:00:00"/>
    <d v="2026-04-05T00:00:00"/>
    <s v="Completed"/>
    <s v="Medium"/>
    <b v="0"/>
    <n v="0"/>
    <n v="2"/>
  </r>
  <r>
    <s v="TASK0390"/>
    <s v="Vendor Evaluation"/>
    <s v="Alice Johnson"/>
    <x v="3"/>
    <d v="2026-02-06T00:00:00"/>
    <d v="2026-02-16T00:00:00"/>
    <d v="2026-02-20T00:00:00"/>
    <s v="Completed"/>
    <s v="High"/>
    <b v="1"/>
    <n v="4"/>
    <n v="3"/>
  </r>
  <r>
    <s v="TASK0391"/>
    <s v="Quarterly Report"/>
    <s v="Alice Johnson"/>
    <x v="3"/>
    <d v="2025-01-11T00:00:00"/>
    <d v="2025-02-05T00:00:00"/>
    <m/>
    <s v="In Progress"/>
    <s v="Critical"/>
    <b v="0"/>
    <n v="0"/>
    <n v="9"/>
  </r>
  <r>
    <s v="TASK0392"/>
    <s v="Vendor Evaluation"/>
    <s v="Bob Martinez"/>
    <x v="0"/>
    <d v="2025-07-19T00:00:00"/>
    <d v="2025-08-01T00:00:00"/>
    <d v="2025-07-30T00:00:00"/>
    <s v="Completed"/>
    <s v="Medium"/>
    <b v="0"/>
    <n v="0"/>
    <n v="2"/>
  </r>
  <r>
    <s v="TASK0393"/>
    <s v="Product Launch"/>
    <s v="Grace Chen"/>
    <x v="0"/>
    <d v="2025-03-22T00:00:00"/>
    <d v="2025-04-10T00:00:00"/>
    <d v="2025-04-17T00:00:00"/>
    <s v="Completed"/>
    <s v="Low"/>
    <b v="1"/>
    <n v="7"/>
    <n v="9"/>
  </r>
  <r>
    <s v="TASK0394"/>
    <s v="Policy Update"/>
    <s v="Frank Wilson"/>
    <x v="3"/>
    <d v="2025-10-24T00:00:00"/>
    <d v="2025-10-30T00:00:00"/>
    <d v="2025-11-04T00:00:00"/>
    <s v="Completed"/>
    <s v="High"/>
    <b v="1"/>
    <n v="5"/>
    <n v="6"/>
  </r>
  <r>
    <s v="TASK0395"/>
    <s v="Training Session"/>
    <s v="Carol White"/>
    <x v="1"/>
    <d v="2025-05-16T00:00:00"/>
    <d v="2025-06-12T00:00:00"/>
    <d v="2025-06-14T00:00:00"/>
    <s v="Completed"/>
    <s v="Low"/>
    <b v="1"/>
    <n v="2"/>
    <n v="6"/>
  </r>
  <r>
    <s v="TASK0396"/>
    <s v="System Upgrade"/>
    <s v="Liam Jackson"/>
    <x v="0"/>
    <d v="2025-06-08T00:00:00"/>
    <d v="2025-06-24T00:00:00"/>
    <d v="2025-06-29T00:00:00"/>
    <s v="Completed"/>
    <s v="High"/>
    <b v="1"/>
    <n v="5"/>
    <n v="4"/>
  </r>
  <r>
    <s v="TASK0397"/>
    <s v="Client Presentation"/>
    <s v="Frank Wilson"/>
    <x v="3"/>
    <d v="2025-10-02T00:00:00"/>
    <d v="2025-10-22T00:00:00"/>
    <m/>
    <s v="In Progress"/>
    <s v="Medium"/>
    <b v="0"/>
    <n v="0"/>
    <n v="1"/>
  </r>
  <r>
    <s v="TASK0398"/>
    <s v="System Upgrade"/>
    <s v="Liam Jackson"/>
    <x v="0"/>
    <d v="2026-01-25T00:00:00"/>
    <d v="2026-02-09T00:00:00"/>
    <m/>
    <s v="In Progress"/>
    <s v="Low"/>
    <b v="0"/>
    <n v="0"/>
    <n v="1"/>
  </r>
  <r>
    <s v="TASK0399"/>
    <s v="Stakeholder Report"/>
    <s v="James Anderson"/>
    <x v="2"/>
    <d v="2025-04-11T00:00:00"/>
    <d v="2025-04-29T00:00:00"/>
    <d v="2025-05-01T00:00:00"/>
    <s v="Completed"/>
    <s v="High"/>
    <b v="1"/>
    <n v="2"/>
    <n v="7"/>
  </r>
  <r>
    <s v="TASK0400"/>
    <s v="Training Session"/>
    <s v="Carol White"/>
    <x v="1"/>
    <d v="2026-02-21T00:00:00"/>
    <d v="2026-03-07T00:00:00"/>
    <m/>
    <s v="Overdue"/>
    <s v="High"/>
    <b v="1"/>
    <n v="4"/>
    <n v="5"/>
  </r>
  <r>
    <s v="TASK0401"/>
    <s v="Product Launch"/>
    <s v="James Anderson"/>
    <x v="2"/>
    <d v="2026-03-05T00:00:00"/>
    <d v="2026-03-21T00:00:00"/>
    <m/>
    <s v="Cancelled"/>
    <s v="Critical"/>
    <b v="0"/>
    <n v="0"/>
    <n v="10"/>
  </r>
  <r>
    <s v="TASK0402"/>
    <s v="Code Review"/>
    <s v="Alice Johnson"/>
    <x v="3"/>
    <d v="2025-04-15T00:00:00"/>
    <d v="2025-05-14T00:00:00"/>
    <m/>
    <s v="Cancelled"/>
    <s v="Medium"/>
    <b v="0"/>
    <n v="0"/>
    <n v="2"/>
  </r>
  <r>
    <s v="TASK0403"/>
    <s v="Budget Review"/>
    <s v="Carol White"/>
    <x v="1"/>
    <d v="2025-10-04T00:00:00"/>
    <d v="2025-11-01T00:00:00"/>
    <m/>
    <s v="Overdue"/>
    <s v="Critical"/>
    <b v="1"/>
    <n v="12"/>
    <n v="6"/>
  </r>
  <r>
    <s v="TASK0404"/>
    <s v="Vendor Evaluation"/>
    <s v="Henry Davis"/>
    <x v="1"/>
    <d v="2025-11-29T00:00:00"/>
    <d v="2025-12-21T00:00:00"/>
    <d v="2025-12-19T00:00:00"/>
    <s v="Completed"/>
    <s v="Medium"/>
    <b v="0"/>
    <n v="0"/>
    <n v="5"/>
  </r>
  <r>
    <s v="TASK0405"/>
    <s v="Security Patch"/>
    <s v="Karen Thomas"/>
    <x v="3"/>
    <d v="2025-08-18T00:00:00"/>
    <d v="2025-09-04T00:00:00"/>
    <d v="2025-09-05T00:00:00"/>
    <s v="Completed"/>
    <s v="Low"/>
    <b v="1"/>
    <n v="1"/>
    <n v="8"/>
  </r>
  <r>
    <s v="TASK0406"/>
    <s v="Market Analysis"/>
    <s v="Nathan Clark"/>
    <x v="4"/>
    <d v="2025-03-20T00:00:00"/>
    <d v="2025-04-02T00:00:00"/>
    <d v="2025-04-02T00:00:00"/>
    <s v="Completed"/>
    <s v="Medium"/>
    <b v="0"/>
    <n v="0"/>
    <n v="10"/>
  </r>
  <r>
    <s v="TASK0407"/>
    <s v="Budget Review"/>
    <s v="Karen Thomas"/>
    <x v="3"/>
    <d v="2025-04-07T00:00:00"/>
    <d v="2025-05-05T00:00:00"/>
    <m/>
    <s v="Overdue"/>
    <s v="Low"/>
    <b v="1"/>
    <n v="17"/>
    <n v="5"/>
  </r>
  <r>
    <s v="TASK0408"/>
    <s v="Training Session"/>
    <s v="James Anderson"/>
    <x v="2"/>
    <d v="2025-10-06T00:00:00"/>
    <d v="2025-10-21T00:00:00"/>
    <d v="2025-10-28T00:00:00"/>
    <s v="Completed"/>
    <s v="Low"/>
    <b v="1"/>
    <n v="7"/>
    <n v="4"/>
  </r>
  <r>
    <s v="TASK0409"/>
    <s v="Product Launch"/>
    <s v="Bob Martinez"/>
    <x v="0"/>
    <d v="2025-03-09T00:00:00"/>
    <d v="2025-03-24T00:00:00"/>
    <m/>
    <s v="Cancelled"/>
    <s v="Medium"/>
    <b v="0"/>
    <n v="0"/>
    <n v="3"/>
  </r>
  <r>
    <s v="TASK0410"/>
    <s v="Budget Review"/>
    <s v="Bob Martinez"/>
    <x v="0"/>
    <d v="2025-07-06T00:00:00"/>
    <d v="2025-07-21T00:00:00"/>
    <d v="2025-07-26T00:00:00"/>
    <s v="Completed"/>
    <s v="Medium"/>
    <b v="1"/>
    <n v="5"/>
    <n v="4"/>
  </r>
  <r>
    <s v="TASK0411"/>
    <s v="Policy Update"/>
    <s v="Liam Jackson"/>
    <x v="0"/>
    <d v="2025-11-26T00:00:00"/>
    <d v="2025-12-13T00:00:00"/>
    <d v="2025-12-14T00:00:00"/>
    <s v="Completed"/>
    <s v="High"/>
    <b v="1"/>
    <n v="1"/>
    <n v="1"/>
  </r>
  <r>
    <s v="TASK0412"/>
    <s v="Vendor Evaluation"/>
    <s v="Maria Harris"/>
    <x v="1"/>
    <d v="2025-03-27T00:00:00"/>
    <d v="2025-04-02T00:00:00"/>
    <m/>
    <s v="Cancelled"/>
    <s v="Medium"/>
    <b v="0"/>
    <n v="0"/>
    <n v="3"/>
  </r>
  <r>
    <s v="TASK0413"/>
    <s v="Data Migration"/>
    <s v="Frank Wilson"/>
    <x v="3"/>
    <d v="2025-03-10T00:00:00"/>
    <d v="2025-03-18T00:00:00"/>
    <d v="2025-03-22T00:00:00"/>
    <s v="Completed"/>
    <s v="Medium"/>
    <b v="1"/>
    <n v="4"/>
    <n v="9"/>
  </r>
  <r>
    <s v="TASK0414"/>
    <s v="Client Presentation"/>
    <s v="Bob Martinez"/>
    <x v="0"/>
    <d v="2025-07-18T00:00:00"/>
    <d v="2025-08-08T00:00:00"/>
    <d v="2025-08-10T00:00:00"/>
    <s v="Completed"/>
    <s v="High"/>
    <b v="1"/>
    <n v="2"/>
    <n v="1"/>
  </r>
  <r>
    <s v="TASK0415"/>
    <s v="Vendor Evaluation"/>
    <s v="Isabella Taylor"/>
    <x v="4"/>
    <d v="2025-10-04T00:00:00"/>
    <d v="2025-10-15T00:00:00"/>
    <d v="2025-10-16T00:00:00"/>
    <s v="Completed"/>
    <s v="High"/>
    <b v="1"/>
    <n v="1"/>
    <n v="6"/>
  </r>
  <r>
    <s v="TASK0416"/>
    <s v="Risk Assessment"/>
    <s v="Emma Brown"/>
    <x v="2"/>
    <d v="2025-04-22T00:00:00"/>
    <d v="2025-05-04T00:00:00"/>
    <d v="2025-05-06T00:00:00"/>
    <s v="Completed"/>
    <s v="High"/>
    <b v="1"/>
    <n v="2"/>
    <n v="7"/>
  </r>
  <r>
    <s v="TASK0417"/>
    <s v="Policy Update"/>
    <s v="Emma Brown"/>
    <x v="2"/>
    <d v="2025-08-27T00:00:00"/>
    <d v="2025-09-04T00:00:00"/>
    <d v="2025-09-07T00:00:00"/>
    <s v="Completed"/>
    <s v="Low"/>
    <b v="1"/>
    <n v="3"/>
    <n v="4"/>
  </r>
  <r>
    <s v="TASK0418"/>
    <s v="Stakeholder Report"/>
    <s v="Carol White"/>
    <x v="1"/>
    <d v="2025-07-09T00:00:00"/>
    <d v="2025-07-31T00:00:00"/>
    <d v="2025-07-30T00:00:00"/>
    <s v="Completed"/>
    <s v="Medium"/>
    <b v="0"/>
    <n v="0"/>
    <n v="1"/>
  </r>
  <r>
    <s v="TASK0419"/>
    <s v="Market Analysis"/>
    <s v="Bob Martinez"/>
    <x v="0"/>
    <d v="2025-09-28T00:00:00"/>
    <d v="2025-10-07T00:00:00"/>
    <d v="2025-10-12T00:00:00"/>
    <s v="Completed"/>
    <s v="Low"/>
    <b v="1"/>
    <n v="5"/>
    <n v="8"/>
  </r>
  <r>
    <s v="TASK0420"/>
    <s v="Data Migration"/>
    <s v="Nathan Clark"/>
    <x v="4"/>
    <d v="2026-02-23T00:00:00"/>
    <d v="2026-03-24T00:00:00"/>
    <m/>
    <s v="In Progress"/>
    <s v="Medium"/>
    <b v="0"/>
    <n v="0"/>
    <n v="3"/>
  </r>
  <r>
    <s v="TASK0421"/>
    <s v="Product Launch"/>
    <s v="Olivia Lewis"/>
    <x v="2"/>
    <d v="2025-08-30T00:00:00"/>
    <d v="2025-09-05T00:00:00"/>
    <d v="2025-09-10T00:00:00"/>
    <s v="Completed"/>
    <s v="Critical"/>
    <b v="1"/>
    <n v="5"/>
    <n v="10"/>
  </r>
  <r>
    <s v="TASK0422"/>
    <s v="Risk Assessment"/>
    <s v="Frank Wilson"/>
    <x v="3"/>
    <d v="2025-02-16T00:00:00"/>
    <d v="2025-03-13T00:00:00"/>
    <d v="2025-03-16T00:00:00"/>
    <s v="Completed"/>
    <s v="Low"/>
    <b v="1"/>
    <n v="3"/>
    <n v="1"/>
  </r>
  <r>
    <s v="TASK0423"/>
    <s v="Risk Assessment"/>
    <s v="Emma Brown"/>
    <x v="2"/>
    <d v="2025-01-09T00:00:00"/>
    <d v="2025-01-15T00:00:00"/>
    <m/>
    <s v="Cancelled"/>
    <s v="Medium"/>
    <b v="0"/>
    <n v="0"/>
    <n v="3"/>
  </r>
  <r>
    <s v="TASK0424"/>
    <s v="Dashboard Setup"/>
    <s v="David Lee"/>
    <x v="4"/>
    <d v="2025-08-15T00:00:00"/>
    <d v="2025-08-19T00:00:00"/>
    <d v="2025-08-17T00:00:00"/>
    <s v="Completed"/>
    <s v="Low"/>
    <b v="0"/>
    <n v="0"/>
    <n v="1"/>
  </r>
  <r>
    <s v="TASK0425"/>
    <s v="Market Analysis"/>
    <s v="Isabella Taylor"/>
    <x v="4"/>
    <d v="2026-03-14T00:00:00"/>
    <d v="2026-04-12T00:00:00"/>
    <d v="2026-04-12T00:00:00"/>
    <s v="Completed"/>
    <s v="Low"/>
    <b v="0"/>
    <n v="0"/>
    <n v="5"/>
  </r>
  <r>
    <s v="TASK0426"/>
    <s v="System Upgrade"/>
    <s v="Nathan Clark"/>
    <x v="4"/>
    <d v="2025-05-06T00:00:00"/>
    <d v="2025-05-20T00:00:00"/>
    <d v="2025-05-26T00:00:00"/>
    <s v="Completed"/>
    <s v="Low"/>
    <b v="1"/>
    <n v="6"/>
    <n v="6"/>
  </r>
  <r>
    <s v="TASK0427"/>
    <s v="Client Presentation"/>
    <s v="Maria Harris"/>
    <x v="1"/>
    <d v="2025-03-25T00:00:00"/>
    <d v="2025-04-16T00:00:00"/>
    <m/>
    <s v="Cancelled"/>
    <s v="Medium"/>
    <b v="0"/>
    <n v="0"/>
    <n v="4"/>
  </r>
  <r>
    <s v="TASK0428"/>
    <s v="Client Presentation"/>
    <s v="Emma Brown"/>
    <x v="2"/>
    <d v="2025-11-18T00:00:00"/>
    <d v="2025-12-09T00:00:00"/>
    <d v="2025-12-11T00:00:00"/>
    <s v="Completed"/>
    <s v="Critical"/>
    <b v="1"/>
    <n v="2"/>
    <n v="6"/>
  </r>
  <r>
    <s v="TASK0429"/>
    <s v="Performance Review"/>
    <s v="Carol White"/>
    <x v="1"/>
    <d v="2025-06-30T00:00:00"/>
    <d v="2025-07-12T00:00:00"/>
    <d v="2025-07-13T00:00:00"/>
    <s v="Completed"/>
    <s v="Medium"/>
    <b v="1"/>
    <n v="1"/>
    <n v="6"/>
  </r>
  <r>
    <s v="TASK0430"/>
    <s v="Stakeholder Report"/>
    <s v="Karen Thomas"/>
    <x v="3"/>
    <d v="2025-01-26T00:00:00"/>
    <d v="2025-02-13T00:00:00"/>
    <d v="2025-02-13T00:00:00"/>
    <s v="Completed"/>
    <s v="Medium"/>
    <b v="0"/>
    <n v="0"/>
    <n v="2"/>
  </r>
  <r>
    <s v="TASK0431"/>
    <s v="Quarterly Report"/>
    <s v="David Lee"/>
    <x v="4"/>
    <d v="2025-09-12T00:00:00"/>
    <d v="2025-09-28T00:00:00"/>
    <d v="2025-10-01T00:00:00"/>
    <s v="Completed"/>
    <s v="Low"/>
    <b v="1"/>
    <n v="3"/>
    <n v="8"/>
  </r>
  <r>
    <s v="TASK0432"/>
    <s v="System Upgrade"/>
    <s v="Bob Martinez"/>
    <x v="0"/>
    <d v="2025-05-14T00:00:00"/>
    <d v="2025-06-07T00:00:00"/>
    <m/>
    <s v="Overdue"/>
    <s v="High"/>
    <b v="1"/>
    <n v="18"/>
    <n v="4"/>
  </r>
  <r>
    <s v="TASK0433"/>
    <s v="Security Patch"/>
    <s v="Olivia Lewis"/>
    <x v="2"/>
    <d v="2025-11-05T00:00:00"/>
    <d v="2025-12-04T00:00:00"/>
    <m/>
    <s v="In Progress"/>
    <s v="Medium"/>
    <b v="0"/>
    <n v="0"/>
    <n v="5"/>
  </r>
  <r>
    <s v="TASK0434"/>
    <s v="Policy Update"/>
    <s v="Henry Davis"/>
    <x v="1"/>
    <d v="2025-08-28T00:00:00"/>
    <d v="2025-09-21T00:00:00"/>
    <d v="2025-09-20T00:00:00"/>
    <s v="Completed"/>
    <s v="High"/>
    <b v="0"/>
    <n v="0"/>
    <n v="4"/>
  </r>
  <r>
    <s v="TASK0435"/>
    <s v="Contract Negotiation"/>
    <s v="Grace Chen"/>
    <x v="0"/>
    <d v="2025-04-30T00:00:00"/>
    <d v="2025-05-09T00:00:00"/>
    <m/>
    <s v="Cancelled"/>
    <s v="Critical"/>
    <b v="0"/>
    <n v="0"/>
    <n v="7"/>
  </r>
  <r>
    <s v="TASK0436"/>
    <s v="Data Migration"/>
    <s v="Alice Johnson"/>
    <x v="3"/>
    <d v="2026-01-07T00:00:00"/>
    <d v="2026-01-10T00:00:00"/>
    <d v="2026-01-11T00:00:00"/>
    <s v="Completed"/>
    <s v="High"/>
    <b v="1"/>
    <n v="1"/>
    <n v="4"/>
  </r>
  <r>
    <s v="TASK0437"/>
    <s v="Performance Review"/>
    <s v="Emma Brown"/>
    <x v="2"/>
    <d v="2026-03-18T00:00:00"/>
    <d v="2026-03-30T00:00:00"/>
    <d v="2026-03-31T00:00:00"/>
    <s v="Completed"/>
    <s v="High"/>
    <b v="1"/>
    <n v="1"/>
    <n v="5"/>
  </r>
  <r>
    <s v="TASK0438"/>
    <s v="Client Presentation"/>
    <s v="Emma Brown"/>
    <x v="2"/>
    <d v="2025-05-12T00:00:00"/>
    <d v="2025-06-04T00:00:00"/>
    <d v="2025-06-07T00:00:00"/>
    <s v="Completed"/>
    <s v="Critical"/>
    <b v="1"/>
    <n v="3"/>
    <n v="3"/>
  </r>
  <r>
    <s v="TASK0439"/>
    <s v="Product Launch"/>
    <s v="Olivia Lewis"/>
    <x v="2"/>
    <d v="2026-02-24T00:00:00"/>
    <d v="2026-03-07T00:00:00"/>
    <d v="2026-03-05T00:00:00"/>
    <s v="Completed"/>
    <s v="Low"/>
    <b v="0"/>
    <n v="0"/>
    <n v="8"/>
  </r>
  <r>
    <s v="TASK0440"/>
    <s v="Stakeholder Report"/>
    <s v="Liam Jackson"/>
    <x v="0"/>
    <d v="2025-03-18T00:00:00"/>
    <d v="2025-04-01T00:00:00"/>
    <m/>
    <s v="Overdue"/>
    <s v="Medium"/>
    <b v="1"/>
    <n v="3"/>
    <n v="5"/>
  </r>
  <r>
    <s v="TASK0441"/>
    <s v="Code Review"/>
    <s v="Liam Jackson"/>
    <x v="0"/>
    <d v="2025-08-10T00:00:00"/>
    <d v="2025-08-15T00:00:00"/>
    <d v="2025-08-22T00:00:00"/>
    <s v="Completed"/>
    <s v="Low"/>
    <b v="1"/>
    <n v="7"/>
    <n v="1"/>
  </r>
  <r>
    <s v="TASK0442"/>
    <s v="Vendor Evaluation"/>
    <s v="Olivia Lewis"/>
    <x v="2"/>
    <d v="2025-03-02T00:00:00"/>
    <d v="2025-03-05T00:00:00"/>
    <d v="2025-03-09T00:00:00"/>
    <s v="Completed"/>
    <s v="Medium"/>
    <b v="1"/>
    <n v="4"/>
    <n v="3"/>
  </r>
  <r>
    <s v="TASK0443"/>
    <s v="Stakeholder Report"/>
    <s v="Liam Jackson"/>
    <x v="0"/>
    <d v="2025-06-06T00:00:00"/>
    <d v="2025-06-11T00:00:00"/>
    <m/>
    <s v="In Progress"/>
    <s v="Medium"/>
    <b v="0"/>
    <n v="0"/>
    <n v="6"/>
  </r>
  <r>
    <s v="TASK0444"/>
    <s v="Vendor Evaluation"/>
    <s v="Liam Jackson"/>
    <x v="0"/>
    <d v="2025-07-21T00:00:00"/>
    <d v="2025-08-05T00:00:00"/>
    <d v="2025-08-05T00:00:00"/>
    <s v="Completed"/>
    <s v="Medium"/>
    <b v="0"/>
    <n v="0"/>
    <n v="3"/>
  </r>
  <r>
    <s v="TASK0445"/>
    <s v="Team Meeting"/>
    <s v="Olivia Lewis"/>
    <x v="2"/>
    <d v="2025-05-02T00:00:00"/>
    <d v="2025-05-28T00:00:00"/>
    <m/>
    <s v="Overdue"/>
    <s v="Medium"/>
    <b v="1"/>
    <n v="17"/>
    <n v="4"/>
  </r>
  <r>
    <s v="TASK0446"/>
    <s v="Budget Review"/>
    <s v="Nathan Clark"/>
    <x v="4"/>
    <d v="2025-07-07T00:00:00"/>
    <d v="2025-07-22T00:00:00"/>
    <d v="2025-07-22T00:00:00"/>
    <s v="Completed"/>
    <s v="High"/>
    <b v="0"/>
    <n v="0"/>
    <n v="5"/>
  </r>
  <r>
    <s v="TASK0447"/>
    <s v="Contract Negotiation"/>
    <s v="Frank Wilson"/>
    <x v="3"/>
    <d v="2025-09-12T00:00:00"/>
    <d v="2025-09-29T00:00:00"/>
    <d v="2025-10-01T00:00:00"/>
    <s v="Completed"/>
    <s v="High"/>
    <b v="1"/>
    <n v="2"/>
    <n v="6"/>
  </r>
  <r>
    <s v="TASK0448"/>
    <s v="Quarterly Report"/>
    <s v="Henry Davis"/>
    <x v="1"/>
    <d v="2025-12-20T00:00:00"/>
    <d v="2026-01-05T00:00:00"/>
    <m/>
    <s v="Cancelled"/>
    <s v="High"/>
    <b v="0"/>
    <n v="0"/>
    <n v="9"/>
  </r>
  <r>
    <s v="TASK0449"/>
    <s v="Product Launch"/>
    <s v="Olivia Lewis"/>
    <x v="2"/>
    <d v="2025-09-09T00:00:00"/>
    <d v="2025-09-16T00:00:00"/>
    <d v="2025-09-16T00:00:00"/>
    <s v="Completed"/>
    <s v="Low"/>
    <b v="0"/>
    <n v="0"/>
    <n v="10"/>
  </r>
  <r>
    <s v="TASK0450"/>
    <s v="Code Review"/>
    <s v="Maria Harris"/>
    <x v="1"/>
    <d v="2026-02-28T00:00:00"/>
    <d v="2026-03-06T00:00:00"/>
    <d v="2026-03-07T00:00:00"/>
    <s v="Completed"/>
    <s v="Medium"/>
    <b v="1"/>
    <n v="1"/>
    <n v="2"/>
  </r>
  <r>
    <s v="TASK0451"/>
    <s v="Training Session"/>
    <s v="Isabella Taylor"/>
    <x v="4"/>
    <d v="2025-03-23T00:00:00"/>
    <d v="2025-04-17T00:00:00"/>
    <d v="2025-04-15T00:00:00"/>
    <s v="Completed"/>
    <s v="Medium"/>
    <b v="0"/>
    <n v="0"/>
    <n v="4"/>
  </r>
  <r>
    <s v="TASK0452"/>
    <s v="Vendor Evaluation"/>
    <s v="Bob Martinez"/>
    <x v="0"/>
    <d v="2025-06-20T00:00:00"/>
    <d v="2025-06-26T00:00:00"/>
    <d v="2025-06-27T00:00:00"/>
    <s v="Completed"/>
    <s v="Medium"/>
    <b v="1"/>
    <n v="1"/>
    <n v="1"/>
  </r>
  <r>
    <s v="TASK0453"/>
    <s v="Compliance Audit"/>
    <s v="Olivia Lewis"/>
    <x v="2"/>
    <d v="2025-02-24T00:00:00"/>
    <d v="2025-03-14T00:00:00"/>
    <d v="2025-03-15T00:00:00"/>
    <s v="Completed"/>
    <s v="Low"/>
    <b v="1"/>
    <n v="1"/>
    <n v="3"/>
  </r>
  <r>
    <s v="TASK0454"/>
    <s v="System Upgrade"/>
    <s v="Karen Thomas"/>
    <x v="3"/>
    <d v="2025-11-21T00:00:00"/>
    <d v="2025-12-20T00:00:00"/>
    <d v="2025-12-25T00:00:00"/>
    <s v="Completed"/>
    <s v="Medium"/>
    <b v="1"/>
    <n v="5"/>
    <n v="8"/>
  </r>
  <r>
    <s v="TASK0455"/>
    <s v="Code Review"/>
    <s v="Grace Chen"/>
    <x v="0"/>
    <d v="2026-02-19T00:00:00"/>
    <d v="2026-02-24T00:00:00"/>
    <d v="2026-03-02T00:00:00"/>
    <s v="Completed"/>
    <s v="Low"/>
    <b v="1"/>
    <n v="6"/>
    <n v="8"/>
  </r>
  <r>
    <s v="TASK0456"/>
    <s v="Compliance Audit"/>
    <s v="Bob Martinez"/>
    <x v="0"/>
    <d v="2025-05-27T00:00:00"/>
    <d v="2025-06-08T00:00:00"/>
    <m/>
    <s v="Cancelled"/>
    <s v="Low"/>
    <b v="0"/>
    <n v="0"/>
    <n v="4"/>
  </r>
  <r>
    <s v="TASK0457"/>
    <s v="Training Session"/>
    <s v="Karen Thomas"/>
    <x v="3"/>
    <d v="2026-02-09T00:00:00"/>
    <d v="2026-03-07T00:00:00"/>
    <d v="2026-03-07T00:00:00"/>
    <s v="Completed"/>
    <s v="Medium"/>
    <b v="0"/>
    <n v="0"/>
    <n v="5"/>
  </r>
  <r>
    <s v="TASK0458"/>
    <s v="System Upgrade"/>
    <s v="Henry Davis"/>
    <x v="1"/>
    <d v="2025-10-22T00:00:00"/>
    <d v="2025-10-27T00:00:00"/>
    <d v="2025-10-28T00:00:00"/>
    <s v="Completed"/>
    <s v="Critical"/>
    <b v="1"/>
    <n v="1"/>
    <n v="8"/>
  </r>
  <r>
    <s v="TASK0459"/>
    <s v="Stakeholder Report"/>
    <s v="Isabella Taylor"/>
    <x v="4"/>
    <d v="2025-12-03T00:00:00"/>
    <d v="2025-12-16T00:00:00"/>
    <m/>
    <s v="Cancelled"/>
    <s v="Critical"/>
    <b v="0"/>
    <n v="0"/>
    <n v="7"/>
  </r>
  <r>
    <s v="TASK0460"/>
    <s v="Performance Review"/>
    <s v="Nathan Clark"/>
    <x v="4"/>
    <d v="2026-01-27T00:00:00"/>
    <d v="2026-02-13T00:00:00"/>
    <d v="2026-02-15T00:00:00"/>
    <s v="Completed"/>
    <s v="High"/>
    <b v="1"/>
    <n v="2"/>
    <n v="10"/>
  </r>
  <r>
    <s v="TASK0461"/>
    <s v="Data Migration"/>
    <s v="Emma Brown"/>
    <x v="2"/>
    <d v="2025-10-27T00:00:00"/>
    <d v="2025-11-09T00:00:00"/>
    <d v="2025-11-08T00:00:00"/>
    <s v="Completed"/>
    <s v="Critical"/>
    <b v="0"/>
    <n v="0"/>
    <n v="6"/>
  </r>
  <r>
    <s v="TASK0462"/>
    <s v="Performance Review"/>
    <s v="Carol White"/>
    <x v="1"/>
    <d v="2025-04-21T00:00:00"/>
    <d v="2025-05-03T00:00:00"/>
    <m/>
    <s v="In Progress"/>
    <s v="High"/>
    <b v="0"/>
    <n v="0"/>
    <n v="4"/>
  </r>
  <r>
    <s v="TASK0463"/>
    <s v="Data Migration"/>
    <s v="Karen Thomas"/>
    <x v="3"/>
    <d v="2025-09-22T00:00:00"/>
    <d v="2025-10-02T00:00:00"/>
    <d v="2025-10-09T00:00:00"/>
    <s v="Completed"/>
    <s v="Medium"/>
    <b v="1"/>
    <n v="7"/>
    <n v="6"/>
  </r>
  <r>
    <s v="TASK0464"/>
    <s v="Performance Review"/>
    <s v="Emma Brown"/>
    <x v="2"/>
    <d v="2025-01-27T00:00:00"/>
    <d v="2025-02-18T00:00:00"/>
    <m/>
    <s v="Overdue"/>
    <s v="Low"/>
    <b v="1"/>
    <n v="9"/>
    <n v="6"/>
  </r>
  <r>
    <s v="TASK0465"/>
    <s v="Quarterly Report"/>
    <s v="Olivia Lewis"/>
    <x v="2"/>
    <d v="2025-02-11T00:00:00"/>
    <d v="2025-02-25T00:00:00"/>
    <d v="2025-02-28T00:00:00"/>
    <s v="Completed"/>
    <s v="Low"/>
    <b v="1"/>
    <n v="3"/>
    <n v="7"/>
  </r>
  <r>
    <s v="TASK0466"/>
    <s v="Budget Review"/>
    <s v="Alice Johnson"/>
    <x v="3"/>
    <d v="2025-11-22T00:00:00"/>
    <d v="2025-12-17T00:00:00"/>
    <d v="2025-12-23T00:00:00"/>
    <s v="Completed"/>
    <s v="Medium"/>
    <b v="1"/>
    <n v="6"/>
    <n v="2"/>
  </r>
  <r>
    <s v="TASK0467"/>
    <s v="Training Session"/>
    <s v="Isabella Taylor"/>
    <x v="4"/>
    <d v="2026-01-15T00:00:00"/>
    <d v="2026-02-01T00:00:00"/>
    <m/>
    <s v="Overdue"/>
    <s v="Medium"/>
    <b v="1"/>
    <n v="17"/>
    <n v="7"/>
  </r>
  <r>
    <s v="TASK0468"/>
    <s v="Team Meeting"/>
    <s v="Alice Johnson"/>
    <x v="3"/>
    <d v="2026-01-23T00:00:00"/>
    <d v="2026-02-15T00:00:00"/>
    <d v="2026-02-19T00:00:00"/>
    <s v="Completed"/>
    <s v="Medium"/>
    <b v="1"/>
    <n v="4"/>
    <n v="1"/>
  </r>
  <r>
    <s v="TASK0469"/>
    <s v="Security Patch"/>
    <s v="Henry Davis"/>
    <x v="1"/>
    <d v="2025-11-13T00:00:00"/>
    <d v="2025-11-24T00:00:00"/>
    <d v="2025-11-24T00:00:00"/>
    <s v="Completed"/>
    <s v="High"/>
    <b v="0"/>
    <n v="0"/>
    <n v="5"/>
  </r>
  <r>
    <s v="TASK0470"/>
    <s v="Budget Review"/>
    <s v="Karen Thomas"/>
    <x v="3"/>
    <d v="2025-03-31T00:00:00"/>
    <d v="2025-04-10T00:00:00"/>
    <m/>
    <s v="Overdue"/>
    <s v="Low"/>
    <b v="1"/>
    <n v="6"/>
    <n v="1"/>
  </r>
  <r>
    <s v="TASK0471"/>
    <s v="Client Presentation"/>
    <s v="Carol White"/>
    <x v="1"/>
    <d v="2025-05-19T00:00:00"/>
    <d v="2025-06-07T00:00:00"/>
    <m/>
    <s v="In Progress"/>
    <s v="Medium"/>
    <b v="0"/>
    <n v="0"/>
    <n v="10"/>
  </r>
  <r>
    <s v="TASK0472"/>
    <s v="Quarterly Report"/>
    <s v="Emma Brown"/>
    <x v="2"/>
    <d v="2026-02-09T00:00:00"/>
    <d v="2026-02-12T00:00:00"/>
    <m/>
    <s v="In Progress"/>
    <s v="Critical"/>
    <b v="0"/>
    <n v="0"/>
    <n v="7"/>
  </r>
  <r>
    <s v="TASK0473"/>
    <s v="Client Presentation"/>
    <s v="Olivia Lewis"/>
    <x v="2"/>
    <d v="2025-08-01T00:00:00"/>
    <d v="2025-08-10T00:00:00"/>
    <m/>
    <s v="Overdue"/>
    <s v="Low"/>
    <b v="1"/>
    <n v="10"/>
    <n v="8"/>
  </r>
  <r>
    <s v="TASK0474"/>
    <s v="Training Session"/>
    <s v="Nathan Clark"/>
    <x v="4"/>
    <d v="2025-07-14T00:00:00"/>
    <d v="2025-07-24T00:00:00"/>
    <d v="2025-07-27T00:00:00"/>
    <s v="Completed"/>
    <s v="High"/>
    <b v="1"/>
    <n v="3"/>
    <n v="5"/>
  </r>
  <r>
    <s v="TASK0475"/>
    <s v="Performance Review"/>
    <s v="James Anderson"/>
    <x v="2"/>
    <d v="2025-06-23T00:00:00"/>
    <d v="2025-06-26T00:00:00"/>
    <d v="2025-06-25T00:00:00"/>
    <s v="Completed"/>
    <s v="Low"/>
    <b v="0"/>
    <n v="0"/>
    <n v="9"/>
  </r>
  <r>
    <s v="TASK0476"/>
    <s v="System Upgrade"/>
    <s v="Liam Jackson"/>
    <x v="0"/>
    <d v="2025-12-10T00:00:00"/>
    <d v="2026-01-04T00:00:00"/>
    <d v="2026-01-06T00:00:00"/>
    <s v="Completed"/>
    <s v="High"/>
    <b v="1"/>
    <n v="2"/>
    <n v="4"/>
  </r>
  <r>
    <s v="TASK0477"/>
    <s v="Quarterly Report"/>
    <s v="James Anderson"/>
    <x v="2"/>
    <d v="2025-07-01T00:00:00"/>
    <d v="2025-07-24T00:00:00"/>
    <d v="2025-07-22T00:00:00"/>
    <s v="Completed"/>
    <s v="Critical"/>
    <b v="0"/>
    <n v="0"/>
    <n v="10"/>
  </r>
  <r>
    <s v="TASK0478"/>
    <s v="System Upgrade"/>
    <s v="Emma Brown"/>
    <x v="2"/>
    <d v="2025-03-31T00:00:00"/>
    <d v="2025-04-06T00:00:00"/>
    <d v="2025-04-09T00:00:00"/>
    <s v="Completed"/>
    <s v="Low"/>
    <b v="1"/>
    <n v="3"/>
    <n v="3"/>
  </r>
  <r>
    <s v="TASK0479"/>
    <s v="Compliance Audit"/>
    <s v="Grace Chen"/>
    <x v="0"/>
    <d v="2026-01-08T00:00:00"/>
    <d v="2026-01-19T00:00:00"/>
    <d v="2026-01-18T00:00:00"/>
    <s v="Completed"/>
    <s v="Medium"/>
    <b v="0"/>
    <n v="0"/>
    <n v="5"/>
  </r>
  <r>
    <s v="TASK0480"/>
    <s v="Policy Update"/>
    <s v="Liam Jackson"/>
    <x v="0"/>
    <d v="2025-06-16T00:00:00"/>
    <d v="2025-07-04T00:00:00"/>
    <m/>
    <s v="Overdue"/>
    <s v="Medium"/>
    <b v="1"/>
    <n v="11"/>
    <n v="5"/>
  </r>
  <r>
    <s v="TASK0481"/>
    <s v="Product Launch"/>
    <s v="James Anderson"/>
    <x v="2"/>
    <d v="2025-11-24T00:00:00"/>
    <d v="2025-12-22T00:00:00"/>
    <d v="2025-12-22T00:00:00"/>
    <s v="Completed"/>
    <s v="High"/>
    <b v="0"/>
    <n v="0"/>
    <n v="1"/>
  </r>
  <r>
    <s v="TASK0482"/>
    <s v="Security Patch"/>
    <s v="Alice Johnson"/>
    <x v="3"/>
    <d v="2026-01-11T00:00:00"/>
    <d v="2026-01-16T00:00:00"/>
    <m/>
    <s v="Overdue"/>
    <s v="Critical"/>
    <b v="1"/>
    <n v="2"/>
    <n v="8"/>
  </r>
  <r>
    <s v="TASK0483"/>
    <s v="Security Patch"/>
    <s v="Emma Brown"/>
    <x v="2"/>
    <d v="2025-04-16T00:00:00"/>
    <d v="2025-05-01T00:00:00"/>
    <m/>
    <s v="Overdue"/>
    <s v="Critical"/>
    <b v="1"/>
    <n v="11"/>
    <n v="1"/>
  </r>
  <r>
    <s v="TASK0484"/>
    <s v="Quarterly Report"/>
    <s v="Liam Jackson"/>
    <x v="0"/>
    <d v="2025-08-14T00:00:00"/>
    <d v="2025-09-10T00:00:00"/>
    <d v="2025-09-17T00:00:00"/>
    <s v="Completed"/>
    <s v="Medium"/>
    <b v="1"/>
    <n v="7"/>
    <n v="5"/>
  </r>
  <r>
    <s v="TASK0485"/>
    <s v="Data Migration"/>
    <s v="Grace Chen"/>
    <x v="0"/>
    <d v="2025-08-03T00:00:00"/>
    <d v="2025-08-08T00:00:00"/>
    <d v="2025-08-14T00:00:00"/>
    <s v="Completed"/>
    <s v="Low"/>
    <b v="1"/>
    <n v="6"/>
    <n v="2"/>
  </r>
  <r>
    <s v="TASK0486"/>
    <s v="Policy Update"/>
    <s v="Bob Martinez"/>
    <x v="0"/>
    <d v="2025-07-08T00:00:00"/>
    <d v="2025-07-12T00:00:00"/>
    <d v="2025-07-13T00:00:00"/>
    <s v="Completed"/>
    <s v="Medium"/>
    <b v="1"/>
    <n v="1"/>
    <n v="7"/>
  </r>
  <r>
    <s v="TASK0487"/>
    <s v="Vendor Evaluation"/>
    <s v="Frank Wilson"/>
    <x v="3"/>
    <d v="2025-05-18T00:00:00"/>
    <d v="2025-06-10T00:00:00"/>
    <d v="2025-06-10T00:00:00"/>
    <s v="Completed"/>
    <s v="Medium"/>
    <b v="0"/>
    <n v="0"/>
    <n v="6"/>
  </r>
  <r>
    <s v="TASK0488"/>
    <s v="Client Presentation"/>
    <s v="Maria Harris"/>
    <x v="1"/>
    <d v="2025-09-28T00:00:00"/>
    <d v="2025-10-16T00:00:00"/>
    <m/>
    <s v="Overdue"/>
    <s v="High"/>
    <b v="1"/>
    <n v="3"/>
    <n v="4"/>
  </r>
  <r>
    <s v="TASK0489"/>
    <s v="Process Improvement"/>
    <s v="Grace Chen"/>
    <x v="0"/>
    <d v="2025-03-09T00:00:00"/>
    <d v="2025-03-27T00:00:00"/>
    <d v="2025-03-25T00:00:00"/>
    <s v="Completed"/>
    <s v="Low"/>
    <b v="0"/>
    <n v="0"/>
    <n v="7"/>
  </r>
  <r>
    <s v="TASK0490"/>
    <s v="Data Migration"/>
    <s v="Bob Martinez"/>
    <x v="0"/>
    <d v="2025-01-21T00:00:00"/>
    <d v="2025-02-02T00:00:00"/>
    <m/>
    <s v="Cancelled"/>
    <s v="Medium"/>
    <b v="0"/>
    <n v="0"/>
    <n v="1"/>
  </r>
  <r>
    <s v="TASK0491"/>
    <s v="Dashboard Setup"/>
    <s v="Liam Jackson"/>
    <x v="0"/>
    <d v="2026-01-15T00:00:00"/>
    <d v="2026-01-27T00:00:00"/>
    <m/>
    <s v="In Progress"/>
    <s v="Critical"/>
    <b v="0"/>
    <n v="0"/>
    <n v="4"/>
  </r>
  <r>
    <s v="TASK0492"/>
    <s v="Market Analysis"/>
    <s v="Isabella Taylor"/>
    <x v="4"/>
    <d v="2025-04-26T00:00:00"/>
    <d v="2025-05-09T00:00:00"/>
    <m/>
    <s v="Cancelled"/>
    <s v="Medium"/>
    <b v="0"/>
    <n v="0"/>
    <n v="1"/>
  </r>
  <r>
    <s v="TASK0493"/>
    <s v="Training Session"/>
    <s v="Carol White"/>
    <x v="1"/>
    <d v="2025-04-10T00:00:00"/>
    <d v="2025-05-04T00:00:00"/>
    <m/>
    <s v="In Progress"/>
    <s v="High"/>
    <b v="0"/>
    <n v="0"/>
    <n v="7"/>
  </r>
  <r>
    <s v="TASK0494"/>
    <s v="Client Presentation"/>
    <s v="Karen Thomas"/>
    <x v="3"/>
    <d v="2025-04-22T00:00:00"/>
    <d v="2025-05-09T00:00:00"/>
    <m/>
    <s v="Overdue"/>
    <s v="Low"/>
    <b v="1"/>
    <n v="11"/>
    <n v="8"/>
  </r>
  <r>
    <s v="TASK0495"/>
    <s v="Product Launch"/>
    <s v="Liam Jackson"/>
    <x v="0"/>
    <d v="2025-11-03T00:00:00"/>
    <d v="2025-11-30T00:00:00"/>
    <m/>
    <s v="Cancelled"/>
    <s v="High"/>
    <b v="0"/>
    <n v="0"/>
    <n v="3"/>
  </r>
  <r>
    <s v="TASK0496"/>
    <s v="Risk Assessment"/>
    <s v="Olivia Lewis"/>
    <x v="2"/>
    <d v="2025-06-06T00:00:00"/>
    <d v="2025-06-11T00:00:00"/>
    <d v="2025-06-12T00:00:00"/>
    <s v="Completed"/>
    <s v="Medium"/>
    <b v="1"/>
    <n v="1"/>
    <n v="10"/>
  </r>
  <r>
    <s v="TASK0497"/>
    <s v="Code Review"/>
    <s v="David Lee"/>
    <x v="4"/>
    <d v="2025-12-10T00:00:00"/>
    <d v="2025-12-16T00:00:00"/>
    <d v="2025-12-14T00:00:00"/>
    <s v="Completed"/>
    <s v="Medium"/>
    <b v="0"/>
    <n v="0"/>
    <n v="9"/>
  </r>
  <r>
    <s v="TASK0498"/>
    <s v="Code Review"/>
    <s v="Carol White"/>
    <x v="1"/>
    <d v="2026-02-22T00:00:00"/>
    <d v="2026-03-16T00:00:00"/>
    <d v="2026-03-15T00:00:00"/>
    <s v="Completed"/>
    <s v="Medium"/>
    <b v="0"/>
    <n v="0"/>
    <n v="2"/>
  </r>
  <r>
    <s v="TASK0499"/>
    <s v="Dashboard Setup"/>
    <s v="Bob Martinez"/>
    <x v="0"/>
    <d v="2025-01-27T00:00:00"/>
    <d v="2025-02-21T00:00:00"/>
    <m/>
    <s v="In Progress"/>
    <s v="Medium"/>
    <b v="0"/>
    <n v="0"/>
    <n v="3"/>
  </r>
  <r>
    <s v="TASK0500"/>
    <s v="Code Review"/>
    <s v="Nathan Clark"/>
    <x v="4"/>
    <d v="2025-11-10T00:00:00"/>
    <d v="2025-11-18T00:00:00"/>
    <d v="2025-11-25T00:00:00"/>
    <s v="Completed"/>
    <s v="Medium"/>
    <b v="1"/>
    <n v="7"/>
    <n v="8"/>
  </r>
  <r>
    <s v="TASK0501"/>
    <s v="Vendor Evaluation"/>
    <s v="Alice Johnson"/>
    <x v="3"/>
    <d v="2025-12-07T00:00:00"/>
    <d v="2025-12-20T00:00:00"/>
    <d v="2025-12-27T00:00:00"/>
    <s v="Completed"/>
    <s v="Medium"/>
    <b v="1"/>
    <n v="7"/>
    <n v="6"/>
  </r>
  <r>
    <s v="TASK0502"/>
    <s v="Compliance Audit"/>
    <s v="Henry Davis"/>
    <x v="1"/>
    <d v="2025-08-05T00:00:00"/>
    <d v="2025-08-30T00:00:00"/>
    <d v="2025-09-02T00:00:00"/>
    <s v="Completed"/>
    <s v="High"/>
    <b v="1"/>
    <n v="3"/>
    <n v="2"/>
  </r>
  <r>
    <s v="TASK0503"/>
    <s v="Dashboard Setup"/>
    <s v="Alice Johnson"/>
    <x v="3"/>
    <d v="2025-09-21T00:00:00"/>
    <d v="2025-10-03T00:00:00"/>
    <m/>
    <s v="In Progress"/>
    <s v="Medium"/>
    <b v="0"/>
    <n v="0"/>
    <n v="1"/>
  </r>
  <r>
    <s v="TASK0504"/>
    <s v="Dashboard Setup"/>
    <s v="James Anderson"/>
    <x v="2"/>
    <d v="2025-12-26T00:00:00"/>
    <d v="2026-01-14T00:00:00"/>
    <m/>
    <s v="In Progress"/>
    <s v="Medium"/>
    <b v="0"/>
    <n v="0"/>
    <n v="3"/>
  </r>
  <r>
    <s v="TASK0505"/>
    <s v="System Upgrade"/>
    <s v="Olivia Lewis"/>
    <x v="2"/>
    <d v="2025-05-03T00:00:00"/>
    <d v="2025-05-28T00:00:00"/>
    <d v="2025-05-31T00:00:00"/>
    <s v="Completed"/>
    <s v="Medium"/>
    <b v="1"/>
    <n v="3"/>
    <n v="6"/>
  </r>
  <r>
    <s v="TASK0506"/>
    <s v="Performance Review"/>
    <s v="Olivia Lewis"/>
    <x v="2"/>
    <d v="2025-09-24T00:00:00"/>
    <d v="2025-10-01T00:00:00"/>
    <d v="2025-10-01T00:00:00"/>
    <s v="Completed"/>
    <s v="Medium"/>
    <b v="0"/>
    <n v="0"/>
    <n v="9"/>
  </r>
  <r>
    <s v="TASK0507"/>
    <s v="Market Analysis"/>
    <s v="Alice Johnson"/>
    <x v="3"/>
    <d v="2025-09-24T00:00:00"/>
    <d v="2025-10-04T00:00:00"/>
    <m/>
    <s v="In Progress"/>
    <s v="Low"/>
    <b v="0"/>
    <n v="0"/>
    <n v="8"/>
  </r>
  <r>
    <s v="TASK0508"/>
    <s v="Security Patch"/>
    <s v="Frank Wilson"/>
    <x v="3"/>
    <d v="2025-06-16T00:00:00"/>
    <d v="2025-07-03T00:00:00"/>
    <m/>
    <s v="Overdue"/>
    <s v="Medium"/>
    <b v="1"/>
    <n v="6"/>
    <n v="1"/>
  </r>
  <r>
    <s v="TASK0509"/>
    <s v="Team Meeting"/>
    <s v="Frank Wilson"/>
    <x v="3"/>
    <d v="2025-03-14T00:00:00"/>
    <d v="2025-03-27T00:00:00"/>
    <d v="2025-04-03T00:00:00"/>
    <s v="Completed"/>
    <s v="Critical"/>
    <b v="1"/>
    <n v="7"/>
    <n v="4"/>
  </r>
  <r>
    <s v="TASK0510"/>
    <s v="System Upgrade"/>
    <s v="Olivia Lewis"/>
    <x v="2"/>
    <d v="2025-04-12T00:00:00"/>
    <d v="2025-04-24T00:00:00"/>
    <d v="2025-04-22T00:00:00"/>
    <s v="Completed"/>
    <s v="Medium"/>
    <b v="0"/>
    <n v="0"/>
    <n v="10"/>
  </r>
  <r>
    <s v="TASK0511"/>
    <s v="Policy Update"/>
    <s v="Maria Harris"/>
    <x v="1"/>
    <d v="2025-09-16T00:00:00"/>
    <d v="2025-09-21T00:00:00"/>
    <m/>
    <s v="Overdue"/>
    <s v="High"/>
    <b v="1"/>
    <n v="18"/>
    <n v="9"/>
  </r>
  <r>
    <s v="TASK0512"/>
    <s v="Budget Review"/>
    <s v="James Anderson"/>
    <x v="2"/>
    <d v="2026-03-11T00:00:00"/>
    <d v="2026-04-07T00:00:00"/>
    <d v="2026-04-14T00:00:00"/>
    <s v="Completed"/>
    <s v="Low"/>
    <b v="1"/>
    <n v="7"/>
    <n v="2"/>
  </r>
  <r>
    <s v="TASK0513"/>
    <s v="Client Presentation"/>
    <s v="Nathan Clark"/>
    <x v="4"/>
    <d v="2025-12-03T00:00:00"/>
    <d v="2025-12-28T00:00:00"/>
    <m/>
    <s v="In Progress"/>
    <s v="Medium"/>
    <b v="0"/>
    <n v="0"/>
    <n v="7"/>
  </r>
  <r>
    <s v="TASK0514"/>
    <s v="Dashboard Setup"/>
    <s v="Karen Thomas"/>
    <x v="3"/>
    <d v="2026-03-04T00:00:00"/>
    <d v="2026-03-20T00:00:00"/>
    <m/>
    <s v="In Progress"/>
    <s v="Critical"/>
    <b v="0"/>
    <n v="0"/>
    <n v="5"/>
  </r>
  <r>
    <s v="TASK0515"/>
    <s v="Code Review"/>
    <s v="Maria Harris"/>
    <x v="1"/>
    <d v="2025-10-24T00:00:00"/>
    <d v="2025-11-21T00:00:00"/>
    <d v="2025-11-19T00:00:00"/>
    <s v="Completed"/>
    <s v="High"/>
    <b v="0"/>
    <n v="0"/>
    <n v="6"/>
  </r>
  <r>
    <s v="TASK0516"/>
    <s v="Process Improvement"/>
    <s v="Henry Davis"/>
    <x v="1"/>
    <d v="2026-01-28T00:00:00"/>
    <d v="2026-02-03T00:00:00"/>
    <d v="2026-02-03T00:00:00"/>
    <s v="Completed"/>
    <s v="Medium"/>
    <b v="0"/>
    <n v="0"/>
    <n v="7"/>
  </r>
  <r>
    <s v="TASK0517"/>
    <s v="System Upgrade"/>
    <s v="Bob Martinez"/>
    <x v="0"/>
    <d v="2025-01-10T00:00:00"/>
    <d v="2025-01-19T00:00:00"/>
    <m/>
    <s v="Overdue"/>
    <s v="High"/>
    <b v="1"/>
    <n v="18"/>
    <n v="4"/>
  </r>
  <r>
    <s v="TASK0518"/>
    <s v="Training Session"/>
    <s v="Isabella Taylor"/>
    <x v="4"/>
    <d v="2025-12-30T00:00:00"/>
    <d v="2026-01-11T00:00:00"/>
    <d v="2026-01-16T00:00:00"/>
    <s v="Completed"/>
    <s v="High"/>
    <b v="1"/>
    <n v="5"/>
    <n v="4"/>
  </r>
  <r>
    <s v="TASK0519"/>
    <s v="Code Review"/>
    <s v="James Anderson"/>
    <x v="2"/>
    <d v="2025-01-23T00:00:00"/>
    <d v="2025-02-19T00:00:00"/>
    <d v="2025-02-26T00:00:00"/>
    <s v="Completed"/>
    <s v="Low"/>
    <b v="1"/>
    <n v="7"/>
    <n v="10"/>
  </r>
  <r>
    <s v="TASK0520"/>
    <s v="Contract Negotiation"/>
    <s v="Maria Harris"/>
    <x v="1"/>
    <d v="2025-08-20T00:00:00"/>
    <d v="2025-09-10T00:00:00"/>
    <m/>
    <s v="In Progress"/>
    <s v="Medium"/>
    <b v="0"/>
    <n v="0"/>
    <n v="7"/>
  </r>
  <r>
    <s v="TASK0521"/>
    <s v="Team Meeting"/>
    <s v="Henry Davis"/>
    <x v="1"/>
    <d v="2025-12-18T00:00:00"/>
    <d v="2025-12-24T00:00:00"/>
    <m/>
    <s v="In Progress"/>
    <s v="Low"/>
    <b v="0"/>
    <n v="0"/>
    <n v="1"/>
  </r>
  <r>
    <s v="TASK0522"/>
    <s v="Product Launch"/>
    <s v="Frank Wilson"/>
    <x v="3"/>
    <d v="2025-01-01T00:00:00"/>
    <d v="2025-01-15T00:00:00"/>
    <d v="2025-01-18T00:00:00"/>
    <s v="Completed"/>
    <s v="Critical"/>
    <b v="1"/>
    <n v="3"/>
    <n v="4"/>
  </r>
  <r>
    <s v="TASK0523"/>
    <s v="Performance Review"/>
    <s v="Frank Wilson"/>
    <x v="3"/>
    <d v="2025-01-21T00:00:00"/>
    <d v="2025-02-19T00:00:00"/>
    <d v="2025-02-21T00:00:00"/>
    <s v="Completed"/>
    <s v="High"/>
    <b v="1"/>
    <n v="2"/>
    <n v="9"/>
  </r>
  <r>
    <s v="TASK0524"/>
    <s v="Product Launch"/>
    <s v="Carol White"/>
    <x v="1"/>
    <d v="2025-04-20T00:00:00"/>
    <d v="2025-05-06T00:00:00"/>
    <d v="2025-05-05T00:00:00"/>
    <s v="Completed"/>
    <s v="High"/>
    <b v="0"/>
    <n v="0"/>
    <n v="6"/>
  </r>
  <r>
    <s v="TASK0525"/>
    <s v="Vendor Evaluation"/>
    <s v="James Anderson"/>
    <x v="2"/>
    <d v="2026-03-23T00:00:00"/>
    <d v="2026-03-26T00:00:00"/>
    <d v="2026-03-26T00:00:00"/>
    <s v="Completed"/>
    <s v="Low"/>
    <b v="0"/>
    <n v="0"/>
    <n v="6"/>
  </r>
  <r>
    <s v="TASK0526"/>
    <s v="Contract Negotiation"/>
    <s v="David Lee"/>
    <x v="4"/>
    <d v="2025-10-04T00:00:00"/>
    <d v="2025-10-25T00:00:00"/>
    <d v="2025-10-24T00:00:00"/>
    <s v="Completed"/>
    <s v="Medium"/>
    <b v="0"/>
    <n v="0"/>
    <n v="9"/>
  </r>
  <r>
    <s v="TASK0527"/>
    <s v="Performance Review"/>
    <s v="Liam Jackson"/>
    <x v="0"/>
    <d v="2025-08-03T00:00:00"/>
    <d v="2025-08-07T00:00:00"/>
    <m/>
    <s v="In Progress"/>
    <s v="Medium"/>
    <b v="0"/>
    <n v="0"/>
    <n v="4"/>
  </r>
  <r>
    <s v="TASK0528"/>
    <s v="Performance Review"/>
    <s v="Karen Thomas"/>
    <x v="3"/>
    <d v="2025-01-08T00:00:00"/>
    <d v="2025-01-28T00:00:00"/>
    <m/>
    <s v="Cancelled"/>
    <s v="Medium"/>
    <b v="0"/>
    <n v="0"/>
    <n v="1"/>
  </r>
  <r>
    <s v="TASK0529"/>
    <s v="Product Launch"/>
    <s v="Isabella Taylor"/>
    <x v="4"/>
    <d v="2025-03-13T00:00:00"/>
    <d v="2025-04-01T00:00:00"/>
    <m/>
    <s v="Overdue"/>
    <s v="Medium"/>
    <b v="1"/>
    <n v="5"/>
    <n v="4"/>
  </r>
  <r>
    <s v="TASK0530"/>
    <s v="Code Review"/>
    <s v="Karen Thomas"/>
    <x v="3"/>
    <d v="2025-06-21T00:00:00"/>
    <d v="2025-06-24T00:00:00"/>
    <d v="2025-06-24T00:00:00"/>
    <s v="Completed"/>
    <s v="Low"/>
    <b v="0"/>
    <n v="0"/>
    <n v="2"/>
  </r>
  <r>
    <s v="TASK0531"/>
    <s v="Quarterly Report"/>
    <s v="Maria Harris"/>
    <x v="1"/>
    <d v="2025-09-28T00:00:00"/>
    <d v="2025-10-13T00:00:00"/>
    <d v="2025-10-19T00:00:00"/>
    <s v="Completed"/>
    <s v="Critical"/>
    <b v="1"/>
    <n v="6"/>
    <n v="4"/>
  </r>
  <r>
    <s v="TASK0532"/>
    <s v="Process Improvement"/>
    <s v="Frank Wilson"/>
    <x v="3"/>
    <d v="2026-01-20T00:00:00"/>
    <d v="2026-02-12T00:00:00"/>
    <d v="2026-02-16T00:00:00"/>
    <s v="Completed"/>
    <s v="High"/>
    <b v="1"/>
    <n v="4"/>
    <n v="1"/>
  </r>
  <r>
    <s v="TASK0533"/>
    <s v="Data Migration"/>
    <s v="Nathan Clark"/>
    <x v="4"/>
    <d v="2025-11-26T00:00:00"/>
    <d v="2025-12-23T00:00:00"/>
    <d v="2025-12-25T00:00:00"/>
    <s v="Completed"/>
    <s v="Medium"/>
    <b v="1"/>
    <n v="2"/>
    <n v="9"/>
  </r>
  <r>
    <s v="TASK0534"/>
    <s v="Market Analysis"/>
    <s v="Bob Martinez"/>
    <x v="0"/>
    <d v="2025-07-16T00:00:00"/>
    <d v="2025-07-30T00:00:00"/>
    <m/>
    <s v="Cancelled"/>
    <s v="Medium"/>
    <b v="0"/>
    <n v="0"/>
    <n v="6"/>
  </r>
  <r>
    <s v="TASK0535"/>
    <s v="Risk Assessment"/>
    <s v="Maria Harris"/>
    <x v="1"/>
    <d v="2025-01-15T00:00:00"/>
    <d v="2025-01-20T00:00:00"/>
    <m/>
    <s v="Overdue"/>
    <s v="Medium"/>
    <b v="1"/>
    <n v="3"/>
    <n v="7"/>
  </r>
  <r>
    <s v="TASK0536"/>
    <s v="Budget Review"/>
    <s v="Grace Chen"/>
    <x v="0"/>
    <d v="2025-06-08T00:00:00"/>
    <d v="2025-06-19T00:00:00"/>
    <m/>
    <s v="In Progress"/>
    <s v="High"/>
    <b v="0"/>
    <n v="0"/>
    <n v="7"/>
  </r>
  <r>
    <s v="TASK0537"/>
    <s v="Dashboard Setup"/>
    <s v="Nathan Clark"/>
    <x v="4"/>
    <d v="2025-02-08T00:00:00"/>
    <d v="2025-02-18T00:00:00"/>
    <d v="2025-02-17T00:00:00"/>
    <s v="Completed"/>
    <s v="Low"/>
    <b v="0"/>
    <n v="0"/>
    <n v="4"/>
  </r>
  <r>
    <s v="TASK0538"/>
    <s v="Policy Update"/>
    <s v="Henry Davis"/>
    <x v="1"/>
    <d v="2026-02-16T00:00:00"/>
    <d v="2026-03-15T00:00:00"/>
    <m/>
    <s v="Overdue"/>
    <s v="High"/>
    <b v="1"/>
    <n v="7"/>
    <n v="6"/>
  </r>
  <r>
    <s v="TASK0539"/>
    <s v="Code Review"/>
    <s v="Nathan Clark"/>
    <x v="4"/>
    <d v="2026-02-10T00:00:00"/>
    <d v="2026-02-28T00:00:00"/>
    <d v="2026-02-27T00:00:00"/>
    <s v="Completed"/>
    <s v="Low"/>
    <b v="0"/>
    <n v="0"/>
    <n v="6"/>
  </r>
  <r>
    <s v="TASK0540"/>
    <s v="Data Migration"/>
    <s v="Grace Chen"/>
    <x v="0"/>
    <d v="2025-10-29T00:00:00"/>
    <d v="2025-11-07T00:00:00"/>
    <d v="2025-11-14T00:00:00"/>
    <s v="Completed"/>
    <s v="Medium"/>
    <b v="1"/>
    <n v="7"/>
    <n v="1"/>
  </r>
  <r>
    <s v="TASK0541"/>
    <s v="Contract Negotiation"/>
    <s v="Bob Martinez"/>
    <x v="0"/>
    <d v="2025-11-11T00:00:00"/>
    <d v="2025-11-28T00:00:00"/>
    <m/>
    <s v="Overdue"/>
    <s v="Medium"/>
    <b v="1"/>
    <n v="4"/>
    <n v="6"/>
  </r>
  <r>
    <s v="TASK0542"/>
    <s v="Policy Update"/>
    <s v="Grace Chen"/>
    <x v="0"/>
    <d v="2025-06-19T00:00:00"/>
    <d v="2025-06-27T00:00:00"/>
    <d v="2025-07-02T00:00:00"/>
    <s v="Completed"/>
    <s v="Medium"/>
    <b v="1"/>
    <n v="5"/>
    <n v="3"/>
  </r>
  <r>
    <s v="TASK0543"/>
    <s v="Stakeholder Report"/>
    <s v="Karen Thomas"/>
    <x v="3"/>
    <d v="2025-04-30T00:00:00"/>
    <d v="2025-05-10T00:00:00"/>
    <m/>
    <s v="In Progress"/>
    <s v="Medium"/>
    <b v="0"/>
    <n v="0"/>
    <n v="3"/>
  </r>
  <r>
    <s v="TASK0544"/>
    <s v="Quarterly Report"/>
    <s v="Maria Harris"/>
    <x v="1"/>
    <d v="2025-10-27T00:00:00"/>
    <d v="2025-11-03T00:00:00"/>
    <m/>
    <s v="Overdue"/>
    <s v="Medium"/>
    <b v="1"/>
    <n v="17"/>
    <n v="9"/>
  </r>
  <r>
    <s v="TASK0545"/>
    <s v="Performance Review"/>
    <s v="Bob Martinez"/>
    <x v="0"/>
    <d v="2025-12-02T00:00:00"/>
    <d v="2025-12-06T00:00:00"/>
    <m/>
    <s v="Overdue"/>
    <s v="Medium"/>
    <b v="1"/>
    <n v="9"/>
    <n v="10"/>
  </r>
  <r>
    <s v="TASK0546"/>
    <s v="Product Launch"/>
    <s v="Nathan Clark"/>
    <x v="4"/>
    <d v="2025-02-17T00:00:00"/>
    <d v="2025-03-12T00:00:00"/>
    <m/>
    <s v="In Progress"/>
    <s v="High"/>
    <b v="0"/>
    <n v="0"/>
    <n v="10"/>
  </r>
  <r>
    <s v="TASK0547"/>
    <s v="Performance Review"/>
    <s v="David Lee"/>
    <x v="4"/>
    <d v="2025-09-12T00:00:00"/>
    <d v="2025-09-21T00:00:00"/>
    <d v="2025-09-20T00:00:00"/>
    <s v="Completed"/>
    <s v="Low"/>
    <b v="0"/>
    <n v="0"/>
    <n v="10"/>
  </r>
  <r>
    <s v="TASK0548"/>
    <s v="Budget Review"/>
    <s v="Henry Davis"/>
    <x v="1"/>
    <d v="2025-11-29T00:00:00"/>
    <d v="2025-12-17T00:00:00"/>
    <m/>
    <s v="Overdue"/>
    <s v="Low"/>
    <b v="1"/>
    <n v="8"/>
    <n v="7"/>
  </r>
  <r>
    <s v="TASK0549"/>
    <s v="Performance Review"/>
    <s v="Henry Davis"/>
    <x v="1"/>
    <d v="2025-08-13T00:00:00"/>
    <d v="2025-08-28T00:00:00"/>
    <d v="2025-08-29T00:00:00"/>
    <s v="Completed"/>
    <s v="Medium"/>
    <b v="1"/>
    <n v="1"/>
    <n v="3"/>
  </r>
  <r>
    <s v="TASK0550"/>
    <s v="Policy Update"/>
    <s v="Isabella Taylor"/>
    <x v="4"/>
    <d v="2025-11-09T00:00:00"/>
    <d v="2025-12-02T00:00:00"/>
    <d v="2025-11-30T00:00:00"/>
    <s v="Completed"/>
    <s v="Medium"/>
    <b v="0"/>
    <n v="0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TASK0001"/>
    <s v="Budget Review"/>
    <s v="Bob Martinez"/>
    <s v="HR"/>
    <d v="2025-11-10T00:00:00"/>
    <d v="2025-11-18T00:00:00"/>
    <m/>
    <x v="0"/>
    <s v="Medium"/>
    <b v="1"/>
    <n v="2"/>
    <n v="8"/>
  </r>
  <r>
    <s v="TASK0002"/>
    <s v="Product Launch"/>
    <s v="Henry Davis"/>
    <s v="IT"/>
    <d v="2025-02-27T00:00:00"/>
    <d v="2025-03-24T00:00:00"/>
    <m/>
    <x v="0"/>
    <s v="Medium"/>
    <b v="1"/>
    <n v="9"/>
    <n v="10"/>
  </r>
  <r>
    <s v="TASK0003"/>
    <s v="Process Improvement"/>
    <s v="Henry Davis"/>
    <s v="IT"/>
    <d v="2026-01-06T00:00:00"/>
    <d v="2026-01-23T00:00:00"/>
    <m/>
    <x v="1"/>
    <s v="Low"/>
    <b v="0"/>
    <n v="0"/>
    <n v="4"/>
  </r>
  <r>
    <s v="TASK0004"/>
    <s v="Budget Review"/>
    <s v="Grace Chen"/>
    <s v="HR"/>
    <d v="2026-01-22T00:00:00"/>
    <d v="2026-02-16T00:00:00"/>
    <m/>
    <x v="1"/>
    <s v="High"/>
    <b v="0"/>
    <n v="0"/>
    <n v="9"/>
  </r>
  <r>
    <s v="TASK0005"/>
    <s v="Budget Review"/>
    <s v="Emma Brown"/>
    <s v="Sales"/>
    <d v="2026-03-13T00:00:00"/>
    <d v="2026-03-28T00:00:00"/>
    <d v="2026-04-03T00:00:00"/>
    <x v="2"/>
    <s v="Medium"/>
    <b v="1"/>
    <n v="6"/>
    <n v="7"/>
  </r>
  <r>
    <s v="TASK0006"/>
    <s v="Risk Assessment"/>
    <s v="Karen Thomas"/>
    <s v="Finance"/>
    <d v="2025-01-20T00:00:00"/>
    <d v="2025-02-06T00:00:00"/>
    <d v="2025-02-05T00:00:00"/>
    <x v="2"/>
    <s v="High"/>
    <b v="0"/>
    <n v="0"/>
    <n v="8"/>
  </r>
  <r>
    <s v="TASK0007"/>
    <s v="Process Improvement"/>
    <s v="Liam Jackson"/>
    <s v="HR"/>
    <d v="2025-05-27T00:00:00"/>
    <d v="2025-06-23T00:00:00"/>
    <m/>
    <x v="3"/>
    <s v="Medium"/>
    <b v="0"/>
    <n v="0"/>
    <n v="7"/>
  </r>
  <r>
    <s v="TASK0008"/>
    <s v="System Upgrade"/>
    <s v="Frank Wilson"/>
    <s v="Finance"/>
    <d v="2025-11-05T00:00:00"/>
    <d v="2025-11-20T00:00:00"/>
    <d v="2025-11-21T00:00:00"/>
    <x v="2"/>
    <s v="Medium"/>
    <b v="1"/>
    <n v="1"/>
    <n v="5"/>
  </r>
  <r>
    <s v="TASK0009"/>
    <s v="Policy Update"/>
    <s v="David Lee"/>
    <s v="Operations"/>
    <d v="2025-10-11T00:00:00"/>
    <d v="2025-11-01T00:00:00"/>
    <d v="2025-10-30T00:00:00"/>
    <x v="2"/>
    <s v="Medium"/>
    <b v="0"/>
    <n v="0"/>
    <n v="2"/>
  </r>
  <r>
    <s v="TASK0010"/>
    <s v="Performance Review"/>
    <s v="Emma Brown"/>
    <s v="Sales"/>
    <d v="2026-02-09T00:00:00"/>
    <d v="2026-02-19T00:00:00"/>
    <m/>
    <x v="0"/>
    <s v="Low"/>
    <b v="1"/>
    <n v="5"/>
    <n v="9"/>
  </r>
  <r>
    <s v="TASK0011"/>
    <s v="Quarterly Report"/>
    <s v="Karen Thomas"/>
    <s v="Finance"/>
    <d v="2025-12-25T00:00:00"/>
    <d v="2026-01-18T00:00:00"/>
    <d v="2026-01-23T00:00:00"/>
    <x v="2"/>
    <s v="High"/>
    <b v="1"/>
    <n v="5"/>
    <n v="9"/>
  </r>
  <r>
    <s v="TASK0012"/>
    <s v="Risk Assessment"/>
    <s v="James Anderson"/>
    <s v="Sales"/>
    <d v="2025-08-16T00:00:00"/>
    <d v="2025-09-03T00:00:00"/>
    <m/>
    <x v="0"/>
    <s v="Medium"/>
    <b v="1"/>
    <n v="1"/>
    <n v="6"/>
  </r>
  <r>
    <s v="TASK0013"/>
    <s v="Risk Assessment"/>
    <s v="Carol White"/>
    <s v="IT"/>
    <d v="2026-01-20T00:00:00"/>
    <d v="2026-02-07T00:00:00"/>
    <m/>
    <x v="1"/>
    <s v="High"/>
    <b v="0"/>
    <n v="0"/>
    <n v="7"/>
  </r>
  <r>
    <s v="TASK0014"/>
    <s v="Budget Review"/>
    <s v="Bob Martinez"/>
    <s v="HR"/>
    <d v="2025-09-09T00:00:00"/>
    <d v="2025-10-03T00:00:00"/>
    <m/>
    <x v="1"/>
    <s v="Medium"/>
    <b v="0"/>
    <n v="0"/>
    <n v="8"/>
  </r>
  <r>
    <s v="TASK0015"/>
    <s v="Client Presentation"/>
    <s v="Emma Brown"/>
    <s v="Sales"/>
    <d v="2025-05-05T00:00:00"/>
    <d v="2025-05-19T00:00:00"/>
    <d v="2025-05-26T00:00:00"/>
    <x v="2"/>
    <s v="Critical"/>
    <b v="1"/>
    <n v="7"/>
    <n v="10"/>
  </r>
  <r>
    <s v="TASK0016"/>
    <s v="Data Migration"/>
    <s v="Maria Harris"/>
    <s v="IT"/>
    <d v="2026-02-17T00:00:00"/>
    <d v="2026-02-27T00:00:00"/>
    <d v="2026-03-01T00:00:00"/>
    <x v="2"/>
    <s v="High"/>
    <b v="1"/>
    <n v="2"/>
    <n v="9"/>
  </r>
  <r>
    <s v="TASK0017"/>
    <s v="Vendor Evaluation"/>
    <s v="James Anderson"/>
    <s v="Sales"/>
    <d v="2025-07-04T00:00:00"/>
    <d v="2025-07-17T00:00:00"/>
    <m/>
    <x v="0"/>
    <s v="Medium"/>
    <b v="1"/>
    <n v="8"/>
    <n v="10"/>
  </r>
  <r>
    <s v="TASK0018"/>
    <s v="Budget Review"/>
    <s v="Maria Harris"/>
    <s v="IT"/>
    <d v="2025-12-14T00:00:00"/>
    <d v="2026-01-05T00:00:00"/>
    <d v="2026-01-09T00:00:00"/>
    <x v="2"/>
    <s v="High"/>
    <b v="1"/>
    <n v="4"/>
    <n v="2"/>
  </r>
  <r>
    <s v="TASK0019"/>
    <s v="Team Meeting"/>
    <s v="Grace Chen"/>
    <s v="HR"/>
    <d v="2025-08-12T00:00:00"/>
    <d v="2025-09-02T00:00:00"/>
    <d v="2025-09-04T00:00:00"/>
    <x v="2"/>
    <s v="High"/>
    <b v="1"/>
    <n v="2"/>
    <n v="10"/>
  </r>
  <r>
    <s v="TASK0020"/>
    <s v="Contract Negotiation"/>
    <s v="Grace Chen"/>
    <s v="HR"/>
    <d v="2025-10-01T00:00:00"/>
    <d v="2025-10-13T00:00:00"/>
    <d v="2025-10-20T00:00:00"/>
    <x v="2"/>
    <s v="High"/>
    <b v="1"/>
    <n v="7"/>
    <n v="7"/>
  </r>
  <r>
    <s v="TASK0021"/>
    <s v="Code Review"/>
    <s v="Bob Martinez"/>
    <s v="HR"/>
    <d v="2025-08-11T00:00:00"/>
    <d v="2025-09-01T00:00:00"/>
    <m/>
    <x v="3"/>
    <s v="High"/>
    <b v="0"/>
    <n v="0"/>
    <n v="4"/>
  </r>
  <r>
    <s v="TASK0022"/>
    <s v="Data Migration"/>
    <s v="Grace Chen"/>
    <s v="HR"/>
    <d v="2025-11-19T00:00:00"/>
    <d v="2025-12-13T00:00:00"/>
    <m/>
    <x v="0"/>
    <s v="Low"/>
    <b v="1"/>
    <n v="9"/>
    <n v="3"/>
  </r>
  <r>
    <s v="TASK0023"/>
    <s v="System Upgrade"/>
    <s v="Liam Jackson"/>
    <s v="HR"/>
    <d v="2025-07-25T00:00:00"/>
    <d v="2025-08-16T00:00:00"/>
    <m/>
    <x v="3"/>
    <s v="Critical"/>
    <b v="0"/>
    <n v="0"/>
    <n v="3"/>
  </r>
  <r>
    <s v="TASK0024"/>
    <s v="Team Meeting"/>
    <s v="David Lee"/>
    <s v="Operations"/>
    <d v="2025-07-28T00:00:00"/>
    <d v="2025-08-23T00:00:00"/>
    <m/>
    <x v="1"/>
    <s v="High"/>
    <b v="0"/>
    <n v="0"/>
    <n v="6"/>
  </r>
  <r>
    <s v="TASK0025"/>
    <s v="Compliance Audit"/>
    <s v="Alice Johnson"/>
    <s v="Finance"/>
    <d v="2025-10-10T00:00:00"/>
    <d v="2025-10-16T00:00:00"/>
    <d v="2025-10-19T00:00:00"/>
    <x v="2"/>
    <s v="Medium"/>
    <b v="1"/>
    <n v="3"/>
    <n v="8"/>
  </r>
  <r>
    <s v="TASK0026"/>
    <s v="Dashboard Setup"/>
    <s v="Bob Martinez"/>
    <s v="HR"/>
    <d v="2025-01-19T00:00:00"/>
    <d v="2025-01-26T00:00:00"/>
    <d v="2025-01-28T00:00:00"/>
    <x v="2"/>
    <s v="Critical"/>
    <b v="1"/>
    <n v="2"/>
    <n v="7"/>
  </r>
  <r>
    <s v="TASK0027"/>
    <s v="Team Meeting"/>
    <s v="Carol White"/>
    <s v="IT"/>
    <d v="2025-09-22T00:00:00"/>
    <d v="2025-10-16T00:00:00"/>
    <d v="2025-10-15T00:00:00"/>
    <x v="2"/>
    <s v="High"/>
    <b v="0"/>
    <n v="0"/>
    <n v="4"/>
  </r>
  <r>
    <s v="TASK0028"/>
    <s v="Contract Negotiation"/>
    <s v="Emma Brown"/>
    <s v="Sales"/>
    <d v="2025-09-23T00:00:00"/>
    <d v="2025-10-03T00:00:00"/>
    <d v="2025-10-01T00:00:00"/>
    <x v="2"/>
    <s v="Medium"/>
    <b v="0"/>
    <n v="0"/>
    <n v="10"/>
  </r>
  <r>
    <s v="TASK0029"/>
    <s v="Budget Review"/>
    <s v="Carol White"/>
    <s v="IT"/>
    <d v="2025-02-07T00:00:00"/>
    <d v="2025-02-17T00:00:00"/>
    <m/>
    <x v="0"/>
    <s v="Medium"/>
    <b v="1"/>
    <n v="10"/>
    <n v="10"/>
  </r>
  <r>
    <s v="TASK0030"/>
    <s v="Product Launch"/>
    <s v="Karen Thomas"/>
    <s v="Finance"/>
    <d v="2025-08-02T00:00:00"/>
    <d v="2025-08-26T00:00:00"/>
    <m/>
    <x v="1"/>
    <s v="Low"/>
    <b v="0"/>
    <n v="0"/>
    <n v="5"/>
  </r>
  <r>
    <s v="TASK0031"/>
    <s v="Process Improvement"/>
    <s v="Emma Brown"/>
    <s v="Sales"/>
    <d v="2025-05-09T00:00:00"/>
    <d v="2025-05-12T00:00:00"/>
    <d v="2025-05-13T00:00:00"/>
    <x v="2"/>
    <s v="High"/>
    <b v="1"/>
    <n v="1"/>
    <n v="9"/>
  </r>
  <r>
    <s v="TASK0032"/>
    <s v="Training Session"/>
    <s v="Maria Harris"/>
    <s v="IT"/>
    <d v="2025-05-23T00:00:00"/>
    <d v="2025-05-28T00:00:00"/>
    <d v="2025-06-01T00:00:00"/>
    <x v="2"/>
    <s v="Low"/>
    <b v="1"/>
    <n v="4"/>
    <n v="4"/>
  </r>
  <r>
    <s v="TASK0033"/>
    <s v="Security Patch"/>
    <s v="Karen Thomas"/>
    <s v="Finance"/>
    <d v="2026-02-27T00:00:00"/>
    <d v="2026-03-22T00:00:00"/>
    <m/>
    <x v="1"/>
    <s v="High"/>
    <b v="0"/>
    <n v="0"/>
    <n v="8"/>
  </r>
  <r>
    <s v="TASK0034"/>
    <s v="Client Presentation"/>
    <s v="Emma Brown"/>
    <s v="Sales"/>
    <d v="2025-01-17T00:00:00"/>
    <d v="2025-01-23T00:00:00"/>
    <d v="2025-01-26T00:00:00"/>
    <x v="2"/>
    <s v="Low"/>
    <b v="1"/>
    <n v="3"/>
    <n v="2"/>
  </r>
  <r>
    <s v="TASK0035"/>
    <s v="Market Analysis"/>
    <s v="Isabella Taylor"/>
    <s v="Operations"/>
    <d v="2025-05-23T00:00:00"/>
    <d v="2025-05-31T00:00:00"/>
    <m/>
    <x v="0"/>
    <s v="Low"/>
    <b v="1"/>
    <n v="19"/>
    <n v="4"/>
  </r>
  <r>
    <s v="TASK0036"/>
    <s v="Market Analysis"/>
    <s v="James Anderson"/>
    <s v="Sales"/>
    <d v="2026-02-26T00:00:00"/>
    <d v="2026-03-05T00:00:00"/>
    <d v="2026-03-04T00:00:00"/>
    <x v="2"/>
    <s v="Medium"/>
    <b v="0"/>
    <n v="0"/>
    <n v="3"/>
  </r>
  <r>
    <s v="TASK0037"/>
    <s v="Team Meeting"/>
    <s v="Henry Davis"/>
    <s v="IT"/>
    <d v="2026-02-06T00:00:00"/>
    <d v="2026-02-11T00:00:00"/>
    <m/>
    <x v="3"/>
    <s v="Medium"/>
    <b v="0"/>
    <n v="0"/>
    <n v="1"/>
  </r>
  <r>
    <s v="TASK0038"/>
    <s v="Product Launch"/>
    <s v="Liam Jackson"/>
    <s v="HR"/>
    <d v="2025-07-31T00:00:00"/>
    <d v="2025-08-11T00:00:00"/>
    <m/>
    <x v="0"/>
    <s v="Low"/>
    <b v="1"/>
    <n v="1"/>
    <n v="2"/>
  </r>
  <r>
    <s v="TASK0039"/>
    <s v="Budget Review"/>
    <s v="Liam Jackson"/>
    <s v="HR"/>
    <d v="2025-11-28T00:00:00"/>
    <d v="2025-12-21T00:00:00"/>
    <d v="2025-12-22T00:00:00"/>
    <x v="2"/>
    <s v="Medium"/>
    <b v="1"/>
    <n v="1"/>
    <n v="9"/>
  </r>
  <r>
    <s v="TASK0040"/>
    <s v="System Upgrade"/>
    <s v="David Lee"/>
    <s v="Operations"/>
    <d v="2025-01-31T00:00:00"/>
    <d v="2025-02-25T00:00:00"/>
    <d v="2025-03-03T00:00:00"/>
    <x v="2"/>
    <s v="Low"/>
    <b v="1"/>
    <n v="6"/>
    <n v="1"/>
  </r>
  <r>
    <s v="TASK0041"/>
    <s v="Stakeholder Report"/>
    <s v="Carol White"/>
    <s v="IT"/>
    <d v="2025-01-21T00:00:00"/>
    <d v="2025-01-29T00:00:00"/>
    <m/>
    <x v="1"/>
    <s v="High"/>
    <b v="0"/>
    <n v="0"/>
    <n v="8"/>
  </r>
  <r>
    <s v="TASK0042"/>
    <s v="Risk Assessment"/>
    <s v="Emma Brown"/>
    <s v="Sales"/>
    <d v="2025-08-14T00:00:00"/>
    <d v="2025-08-28T00:00:00"/>
    <m/>
    <x v="3"/>
    <s v="Medium"/>
    <b v="0"/>
    <n v="0"/>
    <n v="4"/>
  </r>
  <r>
    <s v="TASK0043"/>
    <s v="System Upgrade"/>
    <s v="Carol White"/>
    <s v="IT"/>
    <d v="2025-01-09T00:00:00"/>
    <d v="2025-01-30T00:00:00"/>
    <d v="2025-02-06T00:00:00"/>
    <x v="2"/>
    <s v="Critical"/>
    <b v="1"/>
    <n v="7"/>
    <n v="3"/>
  </r>
  <r>
    <s v="TASK0044"/>
    <s v="Training Session"/>
    <s v="Bob Martinez"/>
    <s v="HR"/>
    <d v="2025-07-07T00:00:00"/>
    <d v="2025-07-15T00:00:00"/>
    <m/>
    <x v="1"/>
    <s v="Medium"/>
    <b v="0"/>
    <n v="0"/>
    <n v="8"/>
  </r>
  <r>
    <s v="TASK0045"/>
    <s v="Policy Update"/>
    <s v="Maria Harris"/>
    <s v="IT"/>
    <d v="2025-02-28T00:00:00"/>
    <d v="2025-03-14T00:00:00"/>
    <m/>
    <x v="0"/>
    <s v="Medium"/>
    <b v="1"/>
    <n v="3"/>
    <n v="9"/>
  </r>
  <r>
    <s v="TASK0046"/>
    <s v="System Upgrade"/>
    <s v="Isabella Taylor"/>
    <s v="Operations"/>
    <d v="2025-08-08T00:00:00"/>
    <d v="2025-08-24T00:00:00"/>
    <d v="2025-08-28T00:00:00"/>
    <x v="2"/>
    <s v="High"/>
    <b v="1"/>
    <n v="4"/>
    <n v="10"/>
  </r>
  <r>
    <s v="TASK0047"/>
    <s v="Risk Assessment"/>
    <s v="Emma Brown"/>
    <s v="Sales"/>
    <d v="2025-01-12T00:00:00"/>
    <d v="2025-01-31T00:00:00"/>
    <m/>
    <x v="3"/>
    <s v="High"/>
    <b v="0"/>
    <n v="0"/>
    <n v="10"/>
  </r>
  <r>
    <s v="TASK0048"/>
    <s v="System Upgrade"/>
    <s v="Isabella Taylor"/>
    <s v="Operations"/>
    <d v="2025-12-03T00:00:00"/>
    <d v="2025-12-17T00:00:00"/>
    <d v="2025-12-15T00:00:00"/>
    <x v="2"/>
    <s v="Medium"/>
    <b v="0"/>
    <n v="0"/>
    <n v="8"/>
  </r>
  <r>
    <s v="TASK0049"/>
    <s v="Policy Update"/>
    <s v="Olivia Lewis"/>
    <s v="Sales"/>
    <d v="2025-07-14T00:00:00"/>
    <d v="2025-07-29T00:00:00"/>
    <m/>
    <x v="3"/>
    <s v="Medium"/>
    <b v="0"/>
    <n v="0"/>
    <n v="8"/>
  </r>
  <r>
    <s v="TASK0050"/>
    <s v="Data Migration"/>
    <s v="James Anderson"/>
    <s v="Sales"/>
    <d v="2026-01-09T00:00:00"/>
    <d v="2026-01-18T00:00:00"/>
    <d v="2026-01-23T00:00:00"/>
    <x v="2"/>
    <s v="Critical"/>
    <b v="1"/>
    <n v="5"/>
    <n v="8"/>
  </r>
  <r>
    <s v="TASK0051"/>
    <s v="Code Review"/>
    <s v="Grace Chen"/>
    <s v="HR"/>
    <d v="2026-01-26T00:00:00"/>
    <d v="2026-02-18T00:00:00"/>
    <m/>
    <x v="1"/>
    <s v="Medium"/>
    <b v="0"/>
    <n v="0"/>
    <n v="3"/>
  </r>
  <r>
    <s v="TASK0052"/>
    <s v="Process Improvement"/>
    <s v="James Anderson"/>
    <s v="Sales"/>
    <d v="2025-02-21T00:00:00"/>
    <d v="2025-03-13T00:00:00"/>
    <d v="2025-03-20T00:00:00"/>
    <x v="2"/>
    <s v="Medium"/>
    <b v="1"/>
    <n v="7"/>
    <n v="10"/>
  </r>
  <r>
    <s v="TASK0053"/>
    <s v="Client Presentation"/>
    <s v="Nathan Clark"/>
    <s v="Operations"/>
    <d v="2026-03-24T00:00:00"/>
    <d v="2026-04-16T00:00:00"/>
    <d v="2026-04-22T00:00:00"/>
    <x v="2"/>
    <s v="Medium"/>
    <b v="1"/>
    <n v="6"/>
    <n v="3"/>
  </r>
  <r>
    <s v="TASK0054"/>
    <s v="Training Session"/>
    <s v="Maria Harris"/>
    <s v="IT"/>
    <d v="2025-06-11T00:00:00"/>
    <d v="2025-06-17T00:00:00"/>
    <d v="2025-06-16T00:00:00"/>
    <x v="2"/>
    <s v="High"/>
    <b v="0"/>
    <n v="0"/>
    <n v="5"/>
  </r>
  <r>
    <s v="TASK0055"/>
    <s v="Code Review"/>
    <s v="Maria Harris"/>
    <s v="IT"/>
    <d v="2025-09-27T00:00:00"/>
    <d v="2025-10-04T00:00:00"/>
    <d v="2025-10-03T00:00:00"/>
    <x v="2"/>
    <s v="High"/>
    <b v="0"/>
    <n v="0"/>
    <n v="10"/>
  </r>
  <r>
    <s v="TASK0056"/>
    <s v="Quarterly Report"/>
    <s v="Emma Brown"/>
    <s v="Sales"/>
    <d v="2025-11-16T00:00:00"/>
    <d v="2025-11-20T00:00:00"/>
    <d v="2025-11-19T00:00:00"/>
    <x v="2"/>
    <s v="High"/>
    <b v="0"/>
    <n v="0"/>
    <n v="6"/>
  </r>
  <r>
    <s v="TASK0057"/>
    <s v="Vendor Evaluation"/>
    <s v="Carol White"/>
    <s v="IT"/>
    <d v="2025-12-28T00:00:00"/>
    <d v="2026-01-10T00:00:00"/>
    <m/>
    <x v="1"/>
    <s v="Critical"/>
    <b v="0"/>
    <n v="0"/>
    <n v="6"/>
  </r>
  <r>
    <s v="TASK0058"/>
    <s v="Dashboard Setup"/>
    <s v="Maria Harris"/>
    <s v="IT"/>
    <d v="2026-01-19T00:00:00"/>
    <d v="2026-02-05T00:00:00"/>
    <m/>
    <x v="0"/>
    <s v="Medium"/>
    <b v="1"/>
    <n v="1"/>
    <n v="4"/>
  </r>
  <r>
    <s v="TASK0059"/>
    <s v="Contract Negotiation"/>
    <s v="Henry Davis"/>
    <s v="IT"/>
    <d v="2025-09-15T00:00:00"/>
    <d v="2025-10-13T00:00:00"/>
    <d v="2025-10-15T00:00:00"/>
    <x v="2"/>
    <s v="High"/>
    <b v="1"/>
    <n v="2"/>
    <n v="2"/>
  </r>
  <r>
    <s v="TASK0060"/>
    <s v="Stakeholder Report"/>
    <s v="Emma Brown"/>
    <s v="Sales"/>
    <d v="2025-02-15T00:00:00"/>
    <d v="2025-02-20T00:00:00"/>
    <d v="2025-02-26T00:00:00"/>
    <x v="2"/>
    <s v="High"/>
    <b v="1"/>
    <n v="6"/>
    <n v="1"/>
  </r>
  <r>
    <s v="TASK0061"/>
    <s v="Policy Update"/>
    <s v="Bob Martinez"/>
    <s v="HR"/>
    <d v="2026-01-15T00:00:00"/>
    <d v="2026-02-08T00:00:00"/>
    <d v="2026-02-15T00:00:00"/>
    <x v="2"/>
    <s v="Low"/>
    <b v="1"/>
    <n v="7"/>
    <n v="1"/>
  </r>
  <r>
    <s v="TASK0062"/>
    <s v="Contract Negotiation"/>
    <s v="David Lee"/>
    <s v="Operations"/>
    <d v="2025-10-17T00:00:00"/>
    <d v="2025-11-05T00:00:00"/>
    <m/>
    <x v="0"/>
    <s v="Low"/>
    <b v="1"/>
    <n v="15"/>
    <n v="10"/>
  </r>
  <r>
    <s v="TASK0063"/>
    <s v="Market Analysis"/>
    <s v="Liam Jackson"/>
    <s v="HR"/>
    <d v="2026-01-21T00:00:00"/>
    <d v="2026-02-15T00:00:00"/>
    <d v="2026-02-17T00:00:00"/>
    <x v="2"/>
    <s v="Medium"/>
    <b v="1"/>
    <n v="2"/>
    <n v="2"/>
  </r>
  <r>
    <s v="TASK0064"/>
    <s v="Budget Review"/>
    <s v="Liam Jackson"/>
    <s v="HR"/>
    <d v="2025-03-04T00:00:00"/>
    <d v="2025-03-18T00:00:00"/>
    <d v="2025-03-20T00:00:00"/>
    <x v="2"/>
    <s v="Medium"/>
    <b v="1"/>
    <n v="2"/>
    <n v="4"/>
  </r>
  <r>
    <s v="TASK0065"/>
    <s v="Product Launch"/>
    <s v="Carol White"/>
    <s v="IT"/>
    <d v="2025-06-14T00:00:00"/>
    <d v="2025-07-06T00:00:00"/>
    <d v="2025-07-07T00:00:00"/>
    <x v="2"/>
    <s v="High"/>
    <b v="1"/>
    <n v="1"/>
    <n v="5"/>
  </r>
  <r>
    <s v="TASK0066"/>
    <s v="Dashboard Setup"/>
    <s v="Grace Chen"/>
    <s v="HR"/>
    <d v="2026-03-03T00:00:00"/>
    <d v="2026-03-24T00:00:00"/>
    <d v="2026-03-31T00:00:00"/>
    <x v="2"/>
    <s v="Medium"/>
    <b v="1"/>
    <n v="7"/>
    <n v="4"/>
  </r>
  <r>
    <s v="TASK0067"/>
    <s v="Market Analysis"/>
    <s v="Maria Harris"/>
    <s v="IT"/>
    <d v="2026-01-17T00:00:00"/>
    <d v="2026-02-02T00:00:00"/>
    <d v="2026-02-06T00:00:00"/>
    <x v="2"/>
    <s v="High"/>
    <b v="1"/>
    <n v="4"/>
    <n v="5"/>
  </r>
  <r>
    <s v="TASK0068"/>
    <s v="Budget Review"/>
    <s v="David Lee"/>
    <s v="Operations"/>
    <d v="2025-05-10T00:00:00"/>
    <d v="2025-05-17T00:00:00"/>
    <m/>
    <x v="1"/>
    <s v="Medium"/>
    <b v="0"/>
    <n v="0"/>
    <n v="9"/>
  </r>
  <r>
    <s v="TASK0069"/>
    <s v="Stakeholder Report"/>
    <s v="Liam Jackson"/>
    <s v="HR"/>
    <d v="2026-02-18T00:00:00"/>
    <d v="2026-02-24T00:00:00"/>
    <m/>
    <x v="1"/>
    <s v="High"/>
    <b v="0"/>
    <n v="0"/>
    <n v="6"/>
  </r>
  <r>
    <s v="TASK0070"/>
    <s v="Training Session"/>
    <s v="Olivia Lewis"/>
    <s v="Sales"/>
    <d v="2025-02-08T00:00:00"/>
    <d v="2025-02-25T00:00:00"/>
    <m/>
    <x v="1"/>
    <s v="Critical"/>
    <b v="0"/>
    <n v="0"/>
    <n v="7"/>
  </r>
  <r>
    <s v="TASK0071"/>
    <s v="Policy Update"/>
    <s v="Olivia Lewis"/>
    <s v="Sales"/>
    <d v="2025-07-03T00:00:00"/>
    <d v="2025-07-22T00:00:00"/>
    <m/>
    <x v="3"/>
    <s v="High"/>
    <b v="0"/>
    <n v="0"/>
    <n v="2"/>
  </r>
  <r>
    <s v="TASK0072"/>
    <s v="Budget Review"/>
    <s v="Grace Chen"/>
    <s v="HR"/>
    <d v="2025-04-25T00:00:00"/>
    <d v="2025-05-17T00:00:00"/>
    <m/>
    <x v="3"/>
    <s v="Medium"/>
    <b v="0"/>
    <n v="0"/>
    <n v="8"/>
  </r>
  <r>
    <s v="TASK0073"/>
    <s v="Team Meeting"/>
    <s v="Isabella Taylor"/>
    <s v="Operations"/>
    <d v="2025-02-28T00:00:00"/>
    <d v="2025-03-18T00:00:00"/>
    <m/>
    <x v="1"/>
    <s v="Critical"/>
    <b v="0"/>
    <n v="0"/>
    <n v="2"/>
  </r>
  <r>
    <s v="TASK0074"/>
    <s v="Security Patch"/>
    <s v="Alice Johnson"/>
    <s v="Finance"/>
    <d v="2025-12-10T00:00:00"/>
    <d v="2026-01-06T00:00:00"/>
    <d v="2026-01-11T00:00:00"/>
    <x v="2"/>
    <s v="Medium"/>
    <b v="1"/>
    <n v="5"/>
    <n v="6"/>
  </r>
  <r>
    <s v="TASK0075"/>
    <s v="Policy Update"/>
    <s v="Henry Davis"/>
    <s v="IT"/>
    <d v="2025-02-23T00:00:00"/>
    <d v="2025-03-19T00:00:00"/>
    <m/>
    <x v="3"/>
    <s v="Medium"/>
    <b v="0"/>
    <n v="0"/>
    <n v="5"/>
  </r>
  <r>
    <s v="TASK0076"/>
    <s v="Process Improvement"/>
    <s v="Bob Martinez"/>
    <s v="HR"/>
    <d v="2026-02-19T00:00:00"/>
    <d v="2026-03-14T00:00:00"/>
    <m/>
    <x v="1"/>
    <s v="Critical"/>
    <b v="0"/>
    <n v="0"/>
    <n v="8"/>
  </r>
  <r>
    <s v="TASK0077"/>
    <s v="Policy Update"/>
    <s v="David Lee"/>
    <s v="Operations"/>
    <d v="2025-12-10T00:00:00"/>
    <d v="2025-12-30T00:00:00"/>
    <m/>
    <x v="0"/>
    <s v="High"/>
    <b v="1"/>
    <n v="6"/>
    <n v="7"/>
  </r>
  <r>
    <s v="TASK0078"/>
    <s v="Market Analysis"/>
    <s v="Liam Jackson"/>
    <s v="HR"/>
    <d v="2025-03-08T00:00:00"/>
    <d v="2025-03-13T00:00:00"/>
    <d v="2025-03-20T00:00:00"/>
    <x v="2"/>
    <s v="High"/>
    <b v="1"/>
    <n v="7"/>
    <n v="4"/>
  </r>
  <r>
    <s v="TASK0079"/>
    <s v="Team Meeting"/>
    <s v="Isabella Taylor"/>
    <s v="Operations"/>
    <d v="2025-09-06T00:00:00"/>
    <d v="2025-10-04T00:00:00"/>
    <m/>
    <x v="1"/>
    <s v="High"/>
    <b v="0"/>
    <n v="0"/>
    <n v="5"/>
  </r>
  <r>
    <s v="TASK0080"/>
    <s v="Performance Review"/>
    <s v="Olivia Lewis"/>
    <s v="Sales"/>
    <d v="2025-10-21T00:00:00"/>
    <d v="2025-11-19T00:00:00"/>
    <d v="2025-11-17T00:00:00"/>
    <x v="2"/>
    <s v="Medium"/>
    <b v="0"/>
    <n v="0"/>
    <n v="2"/>
  </r>
  <r>
    <s v="TASK0081"/>
    <s v="Stakeholder Report"/>
    <s v="Karen Thomas"/>
    <s v="Finance"/>
    <d v="2026-01-31T00:00:00"/>
    <d v="2026-02-20T00:00:00"/>
    <d v="2026-02-19T00:00:00"/>
    <x v="2"/>
    <s v="Low"/>
    <b v="0"/>
    <n v="0"/>
    <n v="3"/>
  </r>
  <r>
    <s v="TASK0082"/>
    <s v="Quarterly Report"/>
    <s v="Bob Martinez"/>
    <s v="HR"/>
    <d v="2025-02-13T00:00:00"/>
    <d v="2025-02-28T00:00:00"/>
    <m/>
    <x v="1"/>
    <s v="Medium"/>
    <b v="0"/>
    <n v="0"/>
    <n v="6"/>
  </r>
  <r>
    <s v="TASK0083"/>
    <s v="Compliance Audit"/>
    <s v="Karen Thomas"/>
    <s v="Finance"/>
    <d v="2025-07-19T00:00:00"/>
    <d v="2025-07-22T00:00:00"/>
    <d v="2025-07-23T00:00:00"/>
    <x v="2"/>
    <s v="High"/>
    <b v="1"/>
    <n v="1"/>
    <n v="9"/>
  </r>
  <r>
    <s v="TASK0084"/>
    <s v="Performance Review"/>
    <s v="Henry Davis"/>
    <s v="IT"/>
    <d v="2026-03-25T00:00:00"/>
    <d v="2026-03-29T00:00:00"/>
    <d v="2026-04-04T00:00:00"/>
    <x v="2"/>
    <s v="Medium"/>
    <b v="1"/>
    <n v="6"/>
    <n v="10"/>
  </r>
  <r>
    <s v="TASK0085"/>
    <s v="Vendor Evaluation"/>
    <s v="Karen Thomas"/>
    <s v="Finance"/>
    <d v="2026-03-26T00:00:00"/>
    <d v="2026-03-29T00:00:00"/>
    <d v="2026-04-02T00:00:00"/>
    <x v="2"/>
    <s v="Low"/>
    <b v="1"/>
    <n v="4"/>
    <n v="3"/>
  </r>
  <r>
    <s v="TASK0086"/>
    <s v="Stakeholder Report"/>
    <s v="Carol White"/>
    <s v="IT"/>
    <d v="2025-01-14T00:00:00"/>
    <d v="2025-01-23T00:00:00"/>
    <m/>
    <x v="0"/>
    <s v="Critical"/>
    <b v="1"/>
    <n v="5"/>
    <n v="7"/>
  </r>
  <r>
    <s v="TASK0087"/>
    <s v="Quarterly Report"/>
    <s v="Grace Chen"/>
    <s v="HR"/>
    <d v="2026-02-14T00:00:00"/>
    <d v="2026-02-24T00:00:00"/>
    <d v="2026-02-28T00:00:00"/>
    <x v="2"/>
    <s v="Medium"/>
    <b v="1"/>
    <n v="4"/>
    <n v="2"/>
  </r>
  <r>
    <s v="TASK0088"/>
    <s v="Policy Update"/>
    <s v="Nathan Clark"/>
    <s v="Operations"/>
    <d v="2025-09-30T00:00:00"/>
    <d v="2025-10-29T00:00:00"/>
    <d v="2025-11-04T00:00:00"/>
    <x v="2"/>
    <s v="Critical"/>
    <b v="1"/>
    <n v="6"/>
    <n v="1"/>
  </r>
  <r>
    <s v="TASK0089"/>
    <s v="Vendor Evaluation"/>
    <s v="Olivia Lewis"/>
    <s v="Sales"/>
    <d v="2025-12-27T00:00:00"/>
    <d v="2026-01-25T00:00:00"/>
    <d v="2026-02-01T00:00:00"/>
    <x v="2"/>
    <s v="Low"/>
    <b v="1"/>
    <n v="7"/>
    <n v="3"/>
  </r>
  <r>
    <s v="TASK0090"/>
    <s v="Process Improvement"/>
    <s v="Bob Martinez"/>
    <s v="HR"/>
    <d v="2025-01-19T00:00:00"/>
    <d v="2025-02-03T00:00:00"/>
    <m/>
    <x v="0"/>
    <s v="Medium"/>
    <b v="1"/>
    <n v="4"/>
    <n v="8"/>
  </r>
  <r>
    <s v="TASK0091"/>
    <s v="Product Launch"/>
    <s v="Bob Martinez"/>
    <s v="HR"/>
    <d v="2025-10-11T00:00:00"/>
    <d v="2025-10-16T00:00:00"/>
    <m/>
    <x v="0"/>
    <s v="Medium"/>
    <b v="1"/>
    <n v="17"/>
    <n v="2"/>
  </r>
  <r>
    <s v="TASK0092"/>
    <s v="Quarterly Report"/>
    <s v="Grace Chen"/>
    <s v="HR"/>
    <d v="2025-05-02T00:00:00"/>
    <d v="2025-05-07T00:00:00"/>
    <d v="2025-05-12T00:00:00"/>
    <x v="2"/>
    <s v="Medium"/>
    <b v="1"/>
    <n v="5"/>
    <n v="2"/>
  </r>
  <r>
    <s v="TASK0093"/>
    <s v="Budget Review"/>
    <s v="Henry Davis"/>
    <s v="IT"/>
    <d v="2025-10-05T00:00:00"/>
    <d v="2025-10-08T00:00:00"/>
    <d v="2025-10-06T00:00:00"/>
    <x v="2"/>
    <s v="Medium"/>
    <b v="0"/>
    <n v="0"/>
    <n v="10"/>
  </r>
  <r>
    <s v="TASK0094"/>
    <s v="Performance Review"/>
    <s v="David Lee"/>
    <s v="Operations"/>
    <d v="2025-02-11T00:00:00"/>
    <d v="2025-03-06T00:00:00"/>
    <d v="2025-03-05T00:00:00"/>
    <x v="2"/>
    <s v="Medium"/>
    <b v="0"/>
    <n v="0"/>
    <n v="9"/>
  </r>
  <r>
    <s v="TASK0095"/>
    <s v="Data Migration"/>
    <s v="Frank Wilson"/>
    <s v="Finance"/>
    <d v="2025-10-14T00:00:00"/>
    <d v="2025-11-09T00:00:00"/>
    <m/>
    <x v="0"/>
    <s v="Medium"/>
    <b v="1"/>
    <n v="11"/>
    <n v="10"/>
  </r>
  <r>
    <s v="TASK0096"/>
    <s v="Process Improvement"/>
    <s v="Grace Chen"/>
    <s v="HR"/>
    <d v="2025-09-18T00:00:00"/>
    <d v="2025-10-05T00:00:00"/>
    <d v="2025-10-09T00:00:00"/>
    <x v="2"/>
    <s v="Low"/>
    <b v="1"/>
    <n v="4"/>
    <n v="2"/>
  </r>
  <r>
    <s v="TASK0097"/>
    <s v="Risk Assessment"/>
    <s v="David Lee"/>
    <s v="Operations"/>
    <d v="2025-08-17T00:00:00"/>
    <d v="2025-09-07T00:00:00"/>
    <d v="2025-09-09T00:00:00"/>
    <x v="2"/>
    <s v="Low"/>
    <b v="1"/>
    <n v="2"/>
    <n v="7"/>
  </r>
  <r>
    <s v="TASK0098"/>
    <s v="Code Review"/>
    <s v="Nathan Clark"/>
    <s v="Operations"/>
    <d v="2025-05-06T00:00:00"/>
    <d v="2025-05-11T00:00:00"/>
    <d v="2025-05-12T00:00:00"/>
    <x v="2"/>
    <s v="High"/>
    <b v="1"/>
    <n v="1"/>
    <n v="5"/>
  </r>
  <r>
    <s v="TASK0099"/>
    <s v="Market Analysis"/>
    <s v="James Anderson"/>
    <s v="Sales"/>
    <d v="2025-07-05T00:00:00"/>
    <d v="2025-07-12T00:00:00"/>
    <m/>
    <x v="1"/>
    <s v="Medium"/>
    <b v="0"/>
    <n v="0"/>
    <n v="5"/>
  </r>
  <r>
    <s v="TASK0100"/>
    <s v="Compliance Audit"/>
    <s v="Grace Chen"/>
    <s v="HR"/>
    <d v="2026-02-19T00:00:00"/>
    <d v="2026-02-22T00:00:00"/>
    <m/>
    <x v="1"/>
    <s v="High"/>
    <b v="0"/>
    <n v="0"/>
    <n v="7"/>
  </r>
  <r>
    <s v="TASK0101"/>
    <s v="Budget Review"/>
    <s v="Emma Brown"/>
    <s v="Sales"/>
    <d v="2025-09-15T00:00:00"/>
    <d v="2025-09-27T00:00:00"/>
    <d v="2025-09-30T00:00:00"/>
    <x v="2"/>
    <s v="Medium"/>
    <b v="1"/>
    <n v="3"/>
    <n v="5"/>
  </r>
  <r>
    <s v="TASK0102"/>
    <s v="Contract Negotiation"/>
    <s v="Isabella Taylor"/>
    <s v="Operations"/>
    <d v="2025-05-23T00:00:00"/>
    <d v="2025-06-01T00:00:00"/>
    <m/>
    <x v="1"/>
    <s v="Medium"/>
    <b v="0"/>
    <n v="0"/>
    <n v="8"/>
  </r>
  <r>
    <s v="TASK0103"/>
    <s v="Contract Negotiation"/>
    <s v="Liam Jackson"/>
    <s v="HR"/>
    <d v="2025-08-25T00:00:00"/>
    <d v="2025-09-06T00:00:00"/>
    <d v="2025-09-13T00:00:00"/>
    <x v="2"/>
    <s v="Medium"/>
    <b v="1"/>
    <n v="7"/>
    <n v="6"/>
  </r>
  <r>
    <s v="TASK0104"/>
    <s v="Code Review"/>
    <s v="Henry Davis"/>
    <s v="IT"/>
    <d v="2026-01-18T00:00:00"/>
    <d v="2026-02-03T00:00:00"/>
    <m/>
    <x v="0"/>
    <s v="Medium"/>
    <b v="1"/>
    <n v="14"/>
    <n v="2"/>
  </r>
  <r>
    <s v="TASK0105"/>
    <s v="Policy Update"/>
    <s v="Henry Davis"/>
    <s v="IT"/>
    <d v="2025-06-22T00:00:00"/>
    <d v="2025-07-08T00:00:00"/>
    <d v="2025-07-06T00:00:00"/>
    <x v="2"/>
    <s v="Medium"/>
    <b v="0"/>
    <n v="0"/>
    <n v="6"/>
  </r>
  <r>
    <s v="TASK0106"/>
    <s v="Budget Review"/>
    <s v="Bob Martinez"/>
    <s v="HR"/>
    <d v="2025-02-04T00:00:00"/>
    <d v="2025-02-14T00:00:00"/>
    <m/>
    <x v="0"/>
    <s v="Critical"/>
    <b v="1"/>
    <n v="11"/>
    <n v="9"/>
  </r>
  <r>
    <s v="TASK0107"/>
    <s v="Security Patch"/>
    <s v="Frank Wilson"/>
    <s v="Finance"/>
    <d v="2026-02-11T00:00:00"/>
    <d v="2026-02-14T00:00:00"/>
    <d v="2026-02-16T00:00:00"/>
    <x v="2"/>
    <s v="High"/>
    <b v="1"/>
    <n v="2"/>
    <n v="1"/>
  </r>
  <r>
    <s v="TASK0108"/>
    <s v="Team Meeting"/>
    <s v="Maria Harris"/>
    <s v="IT"/>
    <d v="2025-04-18T00:00:00"/>
    <d v="2025-05-07T00:00:00"/>
    <d v="2025-05-11T00:00:00"/>
    <x v="2"/>
    <s v="Low"/>
    <b v="1"/>
    <n v="4"/>
    <n v="8"/>
  </r>
  <r>
    <s v="TASK0109"/>
    <s v="Market Analysis"/>
    <s v="Bob Martinez"/>
    <s v="HR"/>
    <d v="2025-07-22T00:00:00"/>
    <d v="2025-08-14T00:00:00"/>
    <m/>
    <x v="3"/>
    <s v="High"/>
    <b v="0"/>
    <n v="0"/>
    <n v="1"/>
  </r>
  <r>
    <s v="TASK0110"/>
    <s v="Dashboard Setup"/>
    <s v="Grace Chen"/>
    <s v="HR"/>
    <d v="2025-06-24T00:00:00"/>
    <d v="2025-07-21T00:00:00"/>
    <m/>
    <x v="1"/>
    <s v="Medium"/>
    <b v="0"/>
    <n v="0"/>
    <n v="4"/>
  </r>
  <r>
    <s v="TASK0111"/>
    <s v="Product Launch"/>
    <s v="James Anderson"/>
    <s v="Sales"/>
    <d v="2025-07-30T00:00:00"/>
    <d v="2025-08-06T00:00:00"/>
    <d v="2025-08-11T00:00:00"/>
    <x v="2"/>
    <s v="Critical"/>
    <b v="1"/>
    <n v="5"/>
    <n v="8"/>
  </r>
  <r>
    <s v="TASK0112"/>
    <s v="Training Session"/>
    <s v="Carol White"/>
    <s v="IT"/>
    <d v="2025-04-01T00:00:00"/>
    <d v="2025-04-26T00:00:00"/>
    <m/>
    <x v="3"/>
    <s v="Low"/>
    <b v="0"/>
    <n v="0"/>
    <n v="10"/>
  </r>
  <r>
    <s v="TASK0113"/>
    <s v="Policy Update"/>
    <s v="Maria Harris"/>
    <s v="IT"/>
    <d v="2025-06-26T00:00:00"/>
    <d v="2025-07-07T00:00:00"/>
    <d v="2025-07-05T00:00:00"/>
    <x v="2"/>
    <s v="High"/>
    <b v="0"/>
    <n v="0"/>
    <n v="10"/>
  </r>
  <r>
    <s v="TASK0114"/>
    <s v="Code Review"/>
    <s v="Maria Harris"/>
    <s v="IT"/>
    <d v="2025-03-09T00:00:00"/>
    <d v="2025-03-20T00:00:00"/>
    <d v="2025-03-19T00:00:00"/>
    <x v="2"/>
    <s v="Medium"/>
    <b v="0"/>
    <n v="0"/>
    <n v="8"/>
  </r>
  <r>
    <s v="TASK0115"/>
    <s v="Team Meeting"/>
    <s v="David Lee"/>
    <s v="Operations"/>
    <d v="2025-05-12T00:00:00"/>
    <d v="2025-05-20T00:00:00"/>
    <d v="2025-05-22T00:00:00"/>
    <x v="2"/>
    <s v="Critical"/>
    <b v="1"/>
    <n v="2"/>
    <n v="10"/>
  </r>
  <r>
    <s v="TASK0116"/>
    <s v="Data Migration"/>
    <s v="Olivia Lewis"/>
    <s v="Sales"/>
    <d v="2025-04-20T00:00:00"/>
    <d v="2025-05-15T00:00:00"/>
    <d v="2025-05-21T00:00:00"/>
    <x v="2"/>
    <s v="Medium"/>
    <b v="1"/>
    <n v="6"/>
    <n v="6"/>
  </r>
  <r>
    <s v="TASK0117"/>
    <s v="Dashboard Setup"/>
    <s v="Maria Harris"/>
    <s v="IT"/>
    <d v="2025-12-10T00:00:00"/>
    <d v="2025-12-29T00:00:00"/>
    <m/>
    <x v="1"/>
    <s v="Medium"/>
    <b v="0"/>
    <n v="0"/>
    <n v="7"/>
  </r>
  <r>
    <s v="TASK0118"/>
    <s v="Compliance Audit"/>
    <s v="Alice Johnson"/>
    <s v="Finance"/>
    <d v="2026-02-24T00:00:00"/>
    <d v="2026-03-21T00:00:00"/>
    <d v="2026-03-22T00:00:00"/>
    <x v="2"/>
    <s v="High"/>
    <b v="1"/>
    <n v="1"/>
    <n v="9"/>
  </r>
  <r>
    <s v="TASK0119"/>
    <s v="Product Launch"/>
    <s v="Henry Davis"/>
    <s v="IT"/>
    <d v="2025-07-13T00:00:00"/>
    <d v="2025-08-09T00:00:00"/>
    <m/>
    <x v="0"/>
    <s v="Medium"/>
    <b v="1"/>
    <n v="6"/>
    <n v="4"/>
  </r>
  <r>
    <s v="TASK0120"/>
    <s v="Risk Assessment"/>
    <s v="Isabella Taylor"/>
    <s v="Operations"/>
    <d v="2026-01-17T00:00:00"/>
    <d v="2026-02-03T00:00:00"/>
    <d v="2026-02-06T00:00:00"/>
    <x v="2"/>
    <s v="Low"/>
    <b v="1"/>
    <n v="3"/>
    <n v="6"/>
  </r>
  <r>
    <s v="TASK0121"/>
    <s v="Contract Negotiation"/>
    <s v="Bob Martinez"/>
    <s v="HR"/>
    <d v="2025-06-26T00:00:00"/>
    <d v="2025-07-03T00:00:00"/>
    <m/>
    <x v="3"/>
    <s v="High"/>
    <b v="0"/>
    <n v="0"/>
    <n v="7"/>
  </r>
  <r>
    <s v="TASK0122"/>
    <s v="Contract Negotiation"/>
    <s v="Alice Johnson"/>
    <s v="Finance"/>
    <d v="2026-02-22T00:00:00"/>
    <d v="2026-03-15T00:00:00"/>
    <d v="2026-03-17T00:00:00"/>
    <x v="2"/>
    <s v="High"/>
    <b v="1"/>
    <n v="2"/>
    <n v="4"/>
  </r>
  <r>
    <s v="TASK0123"/>
    <s v="Process Improvement"/>
    <s v="Grace Chen"/>
    <s v="HR"/>
    <d v="2025-05-06T00:00:00"/>
    <d v="2025-05-13T00:00:00"/>
    <d v="2025-05-18T00:00:00"/>
    <x v="2"/>
    <s v="Medium"/>
    <b v="1"/>
    <n v="5"/>
    <n v="4"/>
  </r>
  <r>
    <s v="TASK0124"/>
    <s v="Stakeholder Report"/>
    <s v="Henry Davis"/>
    <s v="IT"/>
    <d v="2025-08-03T00:00:00"/>
    <d v="2025-09-01T00:00:00"/>
    <m/>
    <x v="1"/>
    <s v="Low"/>
    <b v="0"/>
    <n v="0"/>
    <n v="7"/>
  </r>
  <r>
    <s v="TASK0125"/>
    <s v="Market Analysis"/>
    <s v="Liam Jackson"/>
    <s v="HR"/>
    <d v="2025-10-08T00:00:00"/>
    <d v="2025-11-01T00:00:00"/>
    <m/>
    <x v="1"/>
    <s v="Low"/>
    <b v="0"/>
    <n v="0"/>
    <n v="3"/>
  </r>
  <r>
    <s v="TASK0126"/>
    <s v="Policy Update"/>
    <s v="Grace Chen"/>
    <s v="HR"/>
    <d v="2025-07-18T00:00:00"/>
    <d v="2025-08-07T00:00:00"/>
    <m/>
    <x v="0"/>
    <s v="High"/>
    <b v="1"/>
    <n v="11"/>
    <n v="9"/>
  </r>
  <r>
    <s v="TASK0127"/>
    <s v="Team Meeting"/>
    <s v="Olivia Lewis"/>
    <s v="Sales"/>
    <d v="2025-05-10T00:00:00"/>
    <d v="2025-06-04T00:00:00"/>
    <m/>
    <x v="3"/>
    <s v="Low"/>
    <b v="0"/>
    <n v="0"/>
    <n v="7"/>
  </r>
  <r>
    <s v="TASK0128"/>
    <s v="System Upgrade"/>
    <s v="Liam Jackson"/>
    <s v="HR"/>
    <d v="2025-05-14T00:00:00"/>
    <d v="2025-05-18T00:00:00"/>
    <d v="2025-05-21T00:00:00"/>
    <x v="2"/>
    <s v="Medium"/>
    <b v="1"/>
    <n v="3"/>
    <n v="1"/>
  </r>
  <r>
    <s v="TASK0129"/>
    <s v="Risk Assessment"/>
    <s v="Liam Jackson"/>
    <s v="HR"/>
    <d v="2025-05-27T00:00:00"/>
    <d v="2025-06-25T00:00:00"/>
    <m/>
    <x v="3"/>
    <s v="Medium"/>
    <b v="0"/>
    <n v="0"/>
    <n v="9"/>
  </r>
  <r>
    <s v="TASK0130"/>
    <s v="Client Presentation"/>
    <s v="David Lee"/>
    <s v="Operations"/>
    <d v="2025-09-07T00:00:00"/>
    <d v="2025-09-24T00:00:00"/>
    <d v="2025-09-30T00:00:00"/>
    <x v="2"/>
    <s v="Medium"/>
    <b v="1"/>
    <n v="6"/>
    <n v="5"/>
  </r>
  <r>
    <s v="TASK0131"/>
    <s v="Budget Review"/>
    <s v="David Lee"/>
    <s v="Operations"/>
    <d v="2025-06-17T00:00:00"/>
    <d v="2025-07-15T00:00:00"/>
    <d v="2025-07-13T00:00:00"/>
    <x v="2"/>
    <s v="Low"/>
    <b v="0"/>
    <n v="0"/>
    <n v="10"/>
  </r>
  <r>
    <s v="TASK0132"/>
    <s v="Vendor Evaluation"/>
    <s v="Frank Wilson"/>
    <s v="Finance"/>
    <d v="2025-12-15T00:00:00"/>
    <d v="2025-12-18T00:00:00"/>
    <m/>
    <x v="1"/>
    <s v="Medium"/>
    <b v="0"/>
    <n v="0"/>
    <n v="2"/>
  </r>
  <r>
    <s v="TASK0133"/>
    <s v="Quarterly Report"/>
    <s v="Maria Harris"/>
    <s v="IT"/>
    <d v="2026-02-13T00:00:00"/>
    <d v="2026-02-22T00:00:00"/>
    <m/>
    <x v="0"/>
    <s v="Medium"/>
    <b v="1"/>
    <n v="2"/>
    <n v="4"/>
  </r>
  <r>
    <s v="TASK0134"/>
    <s v="Product Launch"/>
    <s v="James Anderson"/>
    <s v="Sales"/>
    <d v="2025-04-29T00:00:00"/>
    <d v="2025-05-20T00:00:00"/>
    <d v="2025-05-23T00:00:00"/>
    <x v="2"/>
    <s v="Low"/>
    <b v="1"/>
    <n v="3"/>
    <n v="10"/>
  </r>
  <r>
    <s v="TASK0135"/>
    <s v="Vendor Evaluation"/>
    <s v="Alice Johnson"/>
    <s v="Finance"/>
    <d v="2025-04-25T00:00:00"/>
    <d v="2025-05-04T00:00:00"/>
    <m/>
    <x v="0"/>
    <s v="Medium"/>
    <b v="1"/>
    <n v="8"/>
    <n v="7"/>
  </r>
  <r>
    <s v="TASK0136"/>
    <s v="Data Migration"/>
    <s v="Maria Harris"/>
    <s v="IT"/>
    <d v="2025-11-16T00:00:00"/>
    <d v="2025-12-04T00:00:00"/>
    <m/>
    <x v="0"/>
    <s v="High"/>
    <b v="1"/>
    <n v="9"/>
    <n v="10"/>
  </r>
  <r>
    <s v="TASK0137"/>
    <s v="Team Meeting"/>
    <s v="Frank Wilson"/>
    <s v="Finance"/>
    <d v="2025-11-02T00:00:00"/>
    <d v="2025-11-07T00:00:00"/>
    <m/>
    <x v="0"/>
    <s v="High"/>
    <b v="1"/>
    <n v="13"/>
    <n v="9"/>
  </r>
  <r>
    <s v="TASK0138"/>
    <s v="Market Analysis"/>
    <s v="Frank Wilson"/>
    <s v="Finance"/>
    <d v="2025-10-15T00:00:00"/>
    <d v="2025-10-26T00:00:00"/>
    <m/>
    <x v="0"/>
    <s v="Medium"/>
    <b v="1"/>
    <n v="15"/>
    <n v="6"/>
  </r>
  <r>
    <s v="TASK0139"/>
    <s v="Market Analysis"/>
    <s v="Grace Chen"/>
    <s v="HR"/>
    <d v="2026-01-21T00:00:00"/>
    <d v="2026-02-11T00:00:00"/>
    <m/>
    <x v="1"/>
    <s v="High"/>
    <b v="0"/>
    <n v="0"/>
    <n v="2"/>
  </r>
  <r>
    <s v="TASK0140"/>
    <s v="Client Presentation"/>
    <s v="Liam Jackson"/>
    <s v="HR"/>
    <d v="2025-08-12T00:00:00"/>
    <d v="2025-08-24T00:00:00"/>
    <m/>
    <x v="3"/>
    <s v="High"/>
    <b v="0"/>
    <n v="0"/>
    <n v="6"/>
  </r>
  <r>
    <s v="TASK0141"/>
    <s v="Client Presentation"/>
    <s v="Carol White"/>
    <s v="IT"/>
    <d v="2025-09-07T00:00:00"/>
    <d v="2025-09-10T00:00:00"/>
    <d v="2025-09-11T00:00:00"/>
    <x v="2"/>
    <s v="High"/>
    <b v="1"/>
    <n v="1"/>
    <n v="4"/>
  </r>
  <r>
    <s v="TASK0142"/>
    <s v="Process Improvement"/>
    <s v="Grace Chen"/>
    <s v="HR"/>
    <d v="2026-02-04T00:00:00"/>
    <d v="2026-03-04T00:00:00"/>
    <d v="2026-03-11T00:00:00"/>
    <x v="2"/>
    <s v="Medium"/>
    <b v="1"/>
    <n v="7"/>
    <n v="5"/>
  </r>
  <r>
    <s v="TASK0143"/>
    <s v="Stakeholder Report"/>
    <s v="Liam Jackson"/>
    <s v="HR"/>
    <d v="2025-06-23T00:00:00"/>
    <d v="2025-07-02T00:00:00"/>
    <d v="2025-07-05T00:00:00"/>
    <x v="2"/>
    <s v="Medium"/>
    <b v="1"/>
    <n v="3"/>
    <n v="4"/>
  </r>
  <r>
    <s v="TASK0144"/>
    <s v="Security Patch"/>
    <s v="Emma Brown"/>
    <s v="Sales"/>
    <d v="2025-04-08T00:00:00"/>
    <d v="2025-04-26T00:00:00"/>
    <d v="2025-04-30T00:00:00"/>
    <x v="2"/>
    <s v="Low"/>
    <b v="1"/>
    <n v="4"/>
    <n v="10"/>
  </r>
  <r>
    <s v="TASK0145"/>
    <s v="Compliance Audit"/>
    <s v="James Anderson"/>
    <s v="Sales"/>
    <d v="2025-03-21T00:00:00"/>
    <d v="2025-03-28T00:00:00"/>
    <d v="2025-03-29T00:00:00"/>
    <x v="2"/>
    <s v="High"/>
    <b v="1"/>
    <n v="1"/>
    <n v="3"/>
  </r>
  <r>
    <s v="TASK0146"/>
    <s v="Dashboard Setup"/>
    <s v="Nathan Clark"/>
    <s v="Operations"/>
    <d v="2025-09-21T00:00:00"/>
    <d v="2025-10-15T00:00:00"/>
    <m/>
    <x v="1"/>
    <s v="High"/>
    <b v="0"/>
    <n v="0"/>
    <n v="3"/>
  </r>
  <r>
    <s v="TASK0147"/>
    <s v="Training Session"/>
    <s v="James Anderson"/>
    <s v="Sales"/>
    <d v="2025-10-31T00:00:00"/>
    <d v="2025-11-09T00:00:00"/>
    <m/>
    <x v="3"/>
    <s v="Medium"/>
    <b v="0"/>
    <n v="0"/>
    <n v="5"/>
  </r>
  <r>
    <s v="TASK0148"/>
    <s v="Team Meeting"/>
    <s v="Maria Harris"/>
    <s v="IT"/>
    <d v="2025-03-19T00:00:00"/>
    <d v="2025-04-06T00:00:00"/>
    <m/>
    <x v="0"/>
    <s v="Low"/>
    <b v="1"/>
    <n v="7"/>
    <n v="5"/>
  </r>
  <r>
    <s v="TASK0149"/>
    <s v="Product Launch"/>
    <s v="Bob Martinez"/>
    <s v="HR"/>
    <d v="2026-02-25T00:00:00"/>
    <d v="2026-03-11T00:00:00"/>
    <m/>
    <x v="3"/>
    <s v="Medium"/>
    <b v="0"/>
    <n v="0"/>
    <n v="8"/>
  </r>
  <r>
    <s v="TASK0150"/>
    <s v="Data Migration"/>
    <s v="Carol White"/>
    <s v="IT"/>
    <d v="2025-01-19T00:00:00"/>
    <d v="2025-01-23T00:00:00"/>
    <d v="2025-01-23T00:00:00"/>
    <x v="2"/>
    <s v="Low"/>
    <b v="0"/>
    <n v="0"/>
    <n v="1"/>
  </r>
  <r>
    <s v="TASK0151"/>
    <s v="Dashboard Setup"/>
    <s v="Isabella Taylor"/>
    <s v="Operations"/>
    <d v="2025-05-21T00:00:00"/>
    <d v="2025-05-25T00:00:00"/>
    <d v="2025-05-23T00:00:00"/>
    <x v="2"/>
    <s v="Medium"/>
    <b v="0"/>
    <n v="0"/>
    <n v="1"/>
  </r>
  <r>
    <s v="TASK0152"/>
    <s v="Stakeholder Report"/>
    <s v="Maria Harris"/>
    <s v="IT"/>
    <d v="2025-11-11T00:00:00"/>
    <d v="2025-11-26T00:00:00"/>
    <d v="2025-11-26T00:00:00"/>
    <x v="2"/>
    <s v="High"/>
    <b v="0"/>
    <n v="0"/>
    <n v="2"/>
  </r>
  <r>
    <s v="TASK0153"/>
    <s v="Team Meeting"/>
    <s v="Olivia Lewis"/>
    <s v="Sales"/>
    <d v="2025-01-01T00:00:00"/>
    <d v="2025-01-11T00:00:00"/>
    <d v="2025-01-10T00:00:00"/>
    <x v="2"/>
    <s v="High"/>
    <b v="0"/>
    <n v="0"/>
    <n v="4"/>
  </r>
  <r>
    <s v="TASK0154"/>
    <s v="Data Migration"/>
    <s v="Grace Chen"/>
    <s v="HR"/>
    <d v="2025-08-09T00:00:00"/>
    <d v="2025-08-12T00:00:00"/>
    <d v="2025-08-13T00:00:00"/>
    <x v="2"/>
    <s v="Critical"/>
    <b v="1"/>
    <n v="1"/>
    <n v="9"/>
  </r>
  <r>
    <s v="TASK0155"/>
    <s v="Product Launch"/>
    <s v="Grace Chen"/>
    <s v="HR"/>
    <d v="2025-04-28T00:00:00"/>
    <d v="2025-05-07T00:00:00"/>
    <m/>
    <x v="0"/>
    <s v="Medium"/>
    <b v="1"/>
    <n v="7"/>
    <n v="5"/>
  </r>
  <r>
    <s v="TASK0156"/>
    <s v="Compliance Audit"/>
    <s v="Isabella Taylor"/>
    <s v="Operations"/>
    <d v="2025-04-13T00:00:00"/>
    <d v="2025-05-06T00:00:00"/>
    <m/>
    <x v="1"/>
    <s v="Medium"/>
    <b v="0"/>
    <n v="0"/>
    <n v="3"/>
  </r>
  <r>
    <s v="TASK0157"/>
    <s v="Risk Assessment"/>
    <s v="Emma Brown"/>
    <s v="Sales"/>
    <d v="2026-01-24T00:00:00"/>
    <d v="2026-02-15T00:00:00"/>
    <d v="2026-02-14T00:00:00"/>
    <x v="2"/>
    <s v="Low"/>
    <b v="0"/>
    <n v="0"/>
    <n v="5"/>
  </r>
  <r>
    <s v="TASK0158"/>
    <s v="Code Review"/>
    <s v="Carol White"/>
    <s v="IT"/>
    <d v="2025-02-10T00:00:00"/>
    <d v="2025-02-13T00:00:00"/>
    <d v="2025-02-20T00:00:00"/>
    <x v="2"/>
    <s v="Critical"/>
    <b v="1"/>
    <n v="7"/>
    <n v="1"/>
  </r>
  <r>
    <s v="TASK0159"/>
    <s v="Contract Negotiation"/>
    <s v="Carol White"/>
    <s v="IT"/>
    <d v="2025-08-02T00:00:00"/>
    <d v="2025-08-11T00:00:00"/>
    <d v="2025-08-09T00:00:00"/>
    <x v="2"/>
    <s v="Critical"/>
    <b v="0"/>
    <n v="0"/>
    <n v="8"/>
  </r>
  <r>
    <s v="TASK0160"/>
    <s v="Quarterly Report"/>
    <s v="Isabella Taylor"/>
    <s v="Operations"/>
    <d v="2025-05-07T00:00:00"/>
    <d v="2025-06-02T00:00:00"/>
    <m/>
    <x v="0"/>
    <s v="Medium"/>
    <b v="1"/>
    <n v="11"/>
    <n v="5"/>
  </r>
  <r>
    <s v="TASK0161"/>
    <s v="Stakeholder Report"/>
    <s v="James Anderson"/>
    <s v="Sales"/>
    <d v="2025-05-12T00:00:00"/>
    <d v="2025-05-21T00:00:00"/>
    <m/>
    <x v="0"/>
    <s v="High"/>
    <b v="1"/>
    <n v="5"/>
    <n v="10"/>
  </r>
  <r>
    <s v="TASK0162"/>
    <s v="Market Analysis"/>
    <s v="Nathan Clark"/>
    <s v="Operations"/>
    <d v="2025-02-05T00:00:00"/>
    <d v="2025-02-17T00:00:00"/>
    <m/>
    <x v="1"/>
    <s v="Medium"/>
    <b v="0"/>
    <n v="0"/>
    <n v="10"/>
  </r>
  <r>
    <s v="TASK0163"/>
    <s v="System Upgrade"/>
    <s v="Liam Jackson"/>
    <s v="HR"/>
    <d v="2025-09-28T00:00:00"/>
    <d v="2025-10-09T00:00:00"/>
    <m/>
    <x v="0"/>
    <s v="High"/>
    <b v="1"/>
    <n v="5"/>
    <n v="9"/>
  </r>
  <r>
    <s v="TASK0164"/>
    <s v="Stakeholder Report"/>
    <s v="Henry Davis"/>
    <s v="IT"/>
    <d v="2025-01-14T00:00:00"/>
    <d v="2025-02-05T00:00:00"/>
    <d v="2025-02-06T00:00:00"/>
    <x v="2"/>
    <s v="High"/>
    <b v="1"/>
    <n v="1"/>
    <n v="5"/>
  </r>
  <r>
    <s v="TASK0165"/>
    <s v="Policy Update"/>
    <s v="Frank Wilson"/>
    <s v="Finance"/>
    <d v="2025-11-15T00:00:00"/>
    <d v="2025-11-26T00:00:00"/>
    <m/>
    <x v="1"/>
    <s v="High"/>
    <b v="0"/>
    <n v="0"/>
    <n v="1"/>
  </r>
  <r>
    <s v="TASK0166"/>
    <s v="Training Session"/>
    <s v="Liam Jackson"/>
    <s v="HR"/>
    <d v="2025-04-17T00:00:00"/>
    <d v="2025-04-23T00:00:00"/>
    <m/>
    <x v="0"/>
    <s v="High"/>
    <b v="1"/>
    <n v="15"/>
    <n v="2"/>
  </r>
  <r>
    <s v="TASK0167"/>
    <s v="Product Launch"/>
    <s v="Carol White"/>
    <s v="IT"/>
    <d v="2025-02-24T00:00:00"/>
    <d v="2025-03-25T00:00:00"/>
    <d v="2025-03-25T00:00:00"/>
    <x v="2"/>
    <s v="Medium"/>
    <b v="0"/>
    <n v="0"/>
    <n v="8"/>
  </r>
  <r>
    <s v="TASK0168"/>
    <s v="Training Session"/>
    <s v="Alice Johnson"/>
    <s v="Finance"/>
    <d v="2025-06-24T00:00:00"/>
    <d v="2025-06-30T00:00:00"/>
    <m/>
    <x v="3"/>
    <s v="Critical"/>
    <b v="0"/>
    <n v="0"/>
    <n v="6"/>
  </r>
  <r>
    <s v="TASK0169"/>
    <s v="Team Meeting"/>
    <s v="Isabella Taylor"/>
    <s v="Operations"/>
    <d v="2025-10-07T00:00:00"/>
    <d v="2025-10-14T00:00:00"/>
    <d v="2025-10-14T00:00:00"/>
    <x v="2"/>
    <s v="Low"/>
    <b v="0"/>
    <n v="0"/>
    <n v="9"/>
  </r>
  <r>
    <s v="TASK0170"/>
    <s v="Compliance Audit"/>
    <s v="Karen Thomas"/>
    <s v="Finance"/>
    <d v="2025-10-26T00:00:00"/>
    <d v="2025-11-24T00:00:00"/>
    <d v="2025-11-30T00:00:00"/>
    <x v="2"/>
    <s v="Medium"/>
    <b v="1"/>
    <n v="6"/>
    <n v="1"/>
  </r>
  <r>
    <s v="TASK0171"/>
    <s v="Policy Update"/>
    <s v="Carol White"/>
    <s v="IT"/>
    <d v="2026-01-29T00:00:00"/>
    <d v="2026-02-23T00:00:00"/>
    <d v="2026-02-23T00:00:00"/>
    <x v="2"/>
    <s v="Medium"/>
    <b v="0"/>
    <n v="0"/>
    <n v="1"/>
  </r>
  <r>
    <s v="TASK0172"/>
    <s v="Dashboard Setup"/>
    <s v="James Anderson"/>
    <s v="Sales"/>
    <d v="2025-11-01T00:00:00"/>
    <d v="2025-11-18T00:00:00"/>
    <d v="2025-11-23T00:00:00"/>
    <x v="2"/>
    <s v="Medium"/>
    <b v="1"/>
    <n v="5"/>
    <n v="7"/>
  </r>
  <r>
    <s v="TASK0173"/>
    <s v="System Upgrade"/>
    <s v="Liam Jackson"/>
    <s v="HR"/>
    <d v="2025-07-08T00:00:00"/>
    <d v="2025-08-04T00:00:00"/>
    <m/>
    <x v="3"/>
    <s v="Medium"/>
    <b v="0"/>
    <n v="0"/>
    <n v="6"/>
  </r>
  <r>
    <s v="TASK0174"/>
    <s v="Product Launch"/>
    <s v="Henry Davis"/>
    <s v="IT"/>
    <d v="2025-07-12T00:00:00"/>
    <d v="2025-07-26T00:00:00"/>
    <m/>
    <x v="0"/>
    <s v="Critical"/>
    <b v="1"/>
    <n v="18"/>
    <n v="4"/>
  </r>
  <r>
    <s v="TASK0175"/>
    <s v="Vendor Evaluation"/>
    <s v="Bob Martinez"/>
    <s v="HR"/>
    <d v="2025-07-30T00:00:00"/>
    <d v="2025-08-06T00:00:00"/>
    <d v="2025-08-07T00:00:00"/>
    <x v="2"/>
    <s v="Low"/>
    <b v="1"/>
    <n v="1"/>
    <n v="2"/>
  </r>
  <r>
    <s v="TASK0176"/>
    <s v="Stakeholder Report"/>
    <s v="Olivia Lewis"/>
    <s v="Sales"/>
    <d v="2026-03-19T00:00:00"/>
    <d v="2026-04-15T00:00:00"/>
    <d v="2026-04-15T00:00:00"/>
    <x v="2"/>
    <s v="High"/>
    <b v="0"/>
    <n v="0"/>
    <n v="10"/>
  </r>
  <r>
    <s v="TASK0177"/>
    <s v="Stakeholder Report"/>
    <s v="David Lee"/>
    <s v="Operations"/>
    <d v="2025-10-18T00:00:00"/>
    <d v="2025-10-31T00:00:00"/>
    <m/>
    <x v="0"/>
    <s v="Medium"/>
    <b v="1"/>
    <n v="8"/>
    <n v="7"/>
  </r>
  <r>
    <s v="TASK0178"/>
    <s v="Dashboard Setup"/>
    <s v="Henry Davis"/>
    <s v="IT"/>
    <d v="2026-03-04T00:00:00"/>
    <d v="2026-03-22T00:00:00"/>
    <m/>
    <x v="0"/>
    <s v="Medium"/>
    <b v="1"/>
    <n v="9"/>
    <n v="6"/>
  </r>
  <r>
    <s v="TASK0179"/>
    <s v="Dashboard Setup"/>
    <s v="Bob Martinez"/>
    <s v="HR"/>
    <d v="2025-08-15T00:00:00"/>
    <d v="2025-08-20T00:00:00"/>
    <m/>
    <x v="0"/>
    <s v="Low"/>
    <b v="1"/>
    <n v="1"/>
    <n v="9"/>
  </r>
  <r>
    <s v="TASK0180"/>
    <s v="Market Analysis"/>
    <s v="David Lee"/>
    <s v="Operations"/>
    <d v="2026-03-21T00:00:00"/>
    <d v="2026-04-03T00:00:00"/>
    <d v="2026-04-09T00:00:00"/>
    <x v="2"/>
    <s v="Medium"/>
    <b v="1"/>
    <n v="6"/>
    <n v="3"/>
  </r>
  <r>
    <s v="TASK0181"/>
    <s v="Compliance Audit"/>
    <s v="Karen Thomas"/>
    <s v="Finance"/>
    <d v="2025-06-06T00:00:00"/>
    <d v="2025-06-25T00:00:00"/>
    <d v="2025-06-28T00:00:00"/>
    <x v="2"/>
    <s v="Low"/>
    <b v="1"/>
    <n v="3"/>
    <n v="7"/>
  </r>
  <r>
    <s v="TASK0182"/>
    <s v="Code Review"/>
    <s v="Isabella Taylor"/>
    <s v="Operations"/>
    <d v="2025-08-15T00:00:00"/>
    <d v="2025-08-30T00:00:00"/>
    <m/>
    <x v="1"/>
    <s v="Medium"/>
    <b v="0"/>
    <n v="0"/>
    <n v="6"/>
  </r>
  <r>
    <s v="TASK0183"/>
    <s v="Dashboard Setup"/>
    <s v="Bob Martinez"/>
    <s v="HR"/>
    <d v="2025-02-28T00:00:00"/>
    <d v="2025-03-11T00:00:00"/>
    <d v="2025-03-10T00:00:00"/>
    <x v="2"/>
    <s v="High"/>
    <b v="0"/>
    <n v="0"/>
    <n v="2"/>
  </r>
  <r>
    <s v="TASK0184"/>
    <s v="Security Patch"/>
    <s v="Emma Brown"/>
    <s v="Sales"/>
    <d v="2025-04-20T00:00:00"/>
    <d v="2025-04-28T00:00:00"/>
    <m/>
    <x v="3"/>
    <s v="High"/>
    <b v="0"/>
    <n v="0"/>
    <n v="7"/>
  </r>
  <r>
    <s v="TASK0185"/>
    <s v="Data Migration"/>
    <s v="Bob Martinez"/>
    <s v="HR"/>
    <d v="2025-08-04T00:00:00"/>
    <d v="2025-08-12T00:00:00"/>
    <m/>
    <x v="0"/>
    <s v="Medium"/>
    <b v="1"/>
    <n v="19"/>
    <n v="4"/>
  </r>
  <r>
    <s v="TASK0186"/>
    <s v="Data Migration"/>
    <s v="Carol White"/>
    <s v="IT"/>
    <d v="2025-02-27T00:00:00"/>
    <d v="2025-03-03T00:00:00"/>
    <d v="2025-03-01T00:00:00"/>
    <x v="2"/>
    <s v="Medium"/>
    <b v="0"/>
    <n v="0"/>
    <n v="5"/>
  </r>
  <r>
    <s v="TASK0187"/>
    <s v="Risk Assessment"/>
    <s v="Henry Davis"/>
    <s v="IT"/>
    <d v="2026-02-02T00:00:00"/>
    <d v="2026-02-07T00:00:00"/>
    <m/>
    <x v="1"/>
    <s v="Low"/>
    <b v="0"/>
    <n v="0"/>
    <n v="7"/>
  </r>
  <r>
    <s v="TASK0188"/>
    <s v="Compliance Audit"/>
    <s v="David Lee"/>
    <s v="Operations"/>
    <d v="2026-01-30T00:00:00"/>
    <d v="2026-02-22T00:00:00"/>
    <m/>
    <x v="0"/>
    <s v="High"/>
    <b v="1"/>
    <n v="18"/>
    <n v="3"/>
  </r>
  <r>
    <s v="TASK0189"/>
    <s v="Training Session"/>
    <s v="Bob Martinez"/>
    <s v="HR"/>
    <d v="2025-02-02T00:00:00"/>
    <d v="2025-02-16T00:00:00"/>
    <m/>
    <x v="3"/>
    <s v="Low"/>
    <b v="0"/>
    <n v="0"/>
    <n v="10"/>
  </r>
  <r>
    <s v="TASK0190"/>
    <s v="Budget Review"/>
    <s v="Carol White"/>
    <s v="IT"/>
    <d v="2026-01-03T00:00:00"/>
    <d v="2026-01-28T00:00:00"/>
    <m/>
    <x v="1"/>
    <s v="High"/>
    <b v="0"/>
    <n v="0"/>
    <n v="5"/>
  </r>
  <r>
    <s v="TASK0191"/>
    <s v="Budget Review"/>
    <s v="Liam Jackson"/>
    <s v="HR"/>
    <d v="2025-04-24T00:00:00"/>
    <d v="2025-05-09T00:00:00"/>
    <d v="2025-05-08T00:00:00"/>
    <x v="2"/>
    <s v="Medium"/>
    <b v="0"/>
    <n v="0"/>
    <n v="7"/>
  </r>
  <r>
    <s v="TASK0192"/>
    <s v="Security Patch"/>
    <s v="Bob Martinez"/>
    <s v="HR"/>
    <d v="2025-05-14T00:00:00"/>
    <d v="2025-06-08T00:00:00"/>
    <m/>
    <x v="0"/>
    <s v="Medium"/>
    <b v="1"/>
    <n v="8"/>
    <n v="9"/>
  </r>
  <r>
    <s v="TASK0193"/>
    <s v="Quarterly Report"/>
    <s v="Maria Harris"/>
    <s v="IT"/>
    <d v="2025-04-04T00:00:00"/>
    <d v="2025-04-23T00:00:00"/>
    <m/>
    <x v="0"/>
    <s v="Medium"/>
    <b v="1"/>
    <n v="18"/>
    <n v="5"/>
  </r>
  <r>
    <s v="TASK0194"/>
    <s v="Performance Review"/>
    <s v="Grace Chen"/>
    <s v="HR"/>
    <d v="2025-04-30T00:00:00"/>
    <d v="2025-05-07T00:00:00"/>
    <d v="2025-05-13T00:00:00"/>
    <x v="2"/>
    <s v="Low"/>
    <b v="1"/>
    <n v="6"/>
    <n v="2"/>
  </r>
  <r>
    <s v="TASK0195"/>
    <s v="Team Meeting"/>
    <s v="James Anderson"/>
    <s v="Sales"/>
    <d v="2025-04-21T00:00:00"/>
    <d v="2025-05-17T00:00:00"/>
    <d v="2025-05-22T00:00:00"/>
    <x v="2"/>
    <s v="Medium"/>
    <b v="1"/>
    <n v="5"/>
    <n v="2"/>
  </r>
  <r>
    <s v="TASK0196"/>
    <s v="Product Launch"/>
    <s v="Carol White"/>
    <s v="IT"/>
    <d v="2025-08-27T00:00:00"/>
    <d v="2025-09-18T00:00:00"/>
    <d v="2025-09-18T00:00:00"/>
    <x v="2"/>
    <s v="Low"/>
    <b v="0"/>
    <n v="0"/>
    <n v="9"/>
  </r>
  <r>
    <s v="TASK0197"/>
    <s v="Budget Review"/>
    <s v="Emma Brown"/>
    <s v="Sales"/>
    <d v="2026-02-04T00:00:00"/>
    <d v="2026-02-07T00:00:00"/>
    <m/>
    <x v="3"/>
    <s v="High"/>
    <b v="0"/>
    <n v="0"/>
    <n v="3"/>
  </r>
  <r>
    <s v="TASK0198"/>
    <s v="Product Launch"/>
    <s v="Liam Jackson"/>
    <s v="HR"/>
    <d v="2025-06-26T00:00:00"/>
    <d v="2025-07-13T00:00:00"/>
    <d v="2025-07-19T00:00:00"/>
    <x v="2"/>
    <s v="Medium"/>
    <b v="1"/>
    <n v="6"/>
    <n v="5"/>
  </r>
  <r>
    <s v="TASK0199"/>
    <s v="Market Analysis"/>
    <s v="Grace Chen"/>
    <s v="HR"/>
    <d v="2025-02-10T00:00:00"/>
    <d v="2025-02-26T00:00:00"/>
    <d v="2025-03-04T00:00:00"/>
    <x v="2"/>
    <s v="High"/>
    <b v="1"/>
    <n v="6"/>
    <n v="2"/>
  </r>
  <r>
    <s v="TASK0200"/>
    <s v="Client Presentation"/>
    <s v="Olivia Lewis"/>
    <s v="Sales"/>
    <d v="2025-03-15T00:00:00"/>
    <d v="2025-03-24T00:00:00"/>
    <m/>
    <x v="1"/>
    <s v="High"/>
    <b v="0"/>
    <n v="0"/>
    <n v="10"/>
  </r>
  <r>
    <s v="TASK0201"/>
    <s v="Quarterly Report"/>
    <s v="Nathan Clark"/>
    <s v="Operations"/>
    <d v="2025-05-25T00:00:00"/>
    <d v="2025-06-21T00:00:00"/>
    <m/>
    <x v="3"/>
    <s v="High"/>
    <b v="0"/>
    <n v="0"/>
    <n v="1"/>
  </r>
  <r>
    <s v="TASK0202"/>
    <s v="Product Launch"/>
    <s v="James Anderson"/>
    <s v="Sales"/>
    <d v="2025-10-25T00:00:00"/>
    <d v="2025-11-02T00:00:00"/>
    <d v="2025-11-08T00:00:00"/>
    <x v="2"/>
    <s v="Medium"/>
    <b v="1"/>
    <n v="6"/>
    <n v="6"/>
  </r>
  <r>
    <s v="TASK0203"/>
    <s v="Risk Assessment"/>
    <s v="Olivia Lewis"/>
    <s v="Sales"/>
    <d v="2026-01-13T00:00:00"/>
    <d v="2026-01-20T00:00:00"/>
    <m/>
    <x v="0"/>
    <s v="Low"/>
    <b v="1"/>
    <n v="16"/>
    <n v="4"/>
  </r>
  <r>
    <s v="TASK0204"/>
    <s v="Compliance Audit"/>
    <s v="Nathan Clark"/>
    <s v="Operations"/>
    <d v="2025-01-26T00:00:00"/>
    <d v="2025-02-19T00:00:00"/>
    <d v="2025-02-23T00:00:00"/>
    <x v="2"/>
    <s v="High"/>
    <b v="1"/>
    <n v="4"/>
    <n v="10"/>
  </r>
  <r>
    <s v="TASK0205"/>
    <s v="Client Presentation"/>
    <s v="James Anderson"/>
    <s v="Sales"/>
    <d v="2025-04-05T00:00:00"/>
    <d v="2025-05-02T00:00:00"/>
    <m/>
    <x v="0"/>
    <s v="Medium"/>
    <b v="1"/>
    <n v="11"/>
    <n v="9"/>
  </r>
  <r>
    <s v="TASK0206"/>
    <s v="Market Analysis"/>
    <s v="Grace Chen"/>
    <s v="HR"/>
    <d v="2025-05-07T00:00:00"/>
    <d v="2025-05-17T00:00:00"/>
    <d v="2025-05-23T00:00:00"/>
    <x v="2"/>
    <s v="Medium"/>
    <b v="1"/>
    <n v="6"/>
    <n v="6"/>
  </r>
  <r>
    <s v="TASK0207"/>
    <s v="Team Meeting"/>
    <s v="Alice Johnson"/>
    <s v="Finance"/>
    <d v="2025-12-21T00:00:00"/>
    <d v="2026-01-10T00:00:00"/>
    <d v="2026-01-12T00:00:00"/>
    <x v="2"/>
    <s v="Medium"/>
    <b v="1"/>
    <n v="2"/>
    <n v="5"/>
  </r>
  <r>
    <s v="TASK0208"/>
    <s v="Security Patch"/>
    <s v="Frank Wilson"/>
    <s v="Finance"/>
    <d v="2025-11-20T00:00:00"/>
    <d v="2025-12-05T00:00:00"/>
    <d v="2025-12-06T00:00:00"/>
    <x v="2"/>
    <s v="Low"/>
    <b v="1"/>
    <n v="1"/>
    <n v="5"/>
  </r>
  <r>
    <s v="TASK0209"/>
    <s v="Market Analysis"/>
    <s v="James Anderson"/>
    <s v="Sales"/>
    <d v="2025-08-25T00:00:00"/>
    <d v="2025-09-06T00:00:00"/>
    <d v="2025-09-09T00:00:00"/>
    <x v="2"/>
    <s v="Medium"/>
    <b v="1"/>
    <n v="3"/>
    <n v="7"/>
  </r>
  <r>
    <s v="TASK0210"/>
    <s v="Quarterly Report"/>
    <s v="Carol White"/>
    <s v="IT"/>
    <d v="2026-03-21T00:00:00"/>
    <d v="2026-04-05T00:00:00"/>
    <m/>
    <x v="0"/>
    <s v="Medium"/>
    <b v="1"/>
    <n v="6"/>
    <n v="6"/>
  </r>
  <r>
    <s v="TASK0211"/>
    <s v="Product Launch"/>
    <s v="Nathan Clark"/>
    <s v="Operations"/>
    <d v="2025-12-04T00:00:00"/>
    <d v="2025-12-24T00:00:00"/>
    <m/>
    <x v="3"/>
    <s v="Medium"/>
    <b v="0"/>
    <n v="0"/>
    <n v="5"/>
  </r>
  <r>
    <s v="TASK0212"/>
    <s v="Security Patch"/>
    <s v="Carol White"/>
    <s v="IT"/>
    <d v="2025-11-29T00:00:00"/>
    <d v="2025-12-12T00:00:00"/>
    <d v="2025-12-14T00:00:00"/>
    <x v="2"/>
    <s v="Low"/>
    <b v="1"/>
    <n v="2"/>
    <n v="4"/>
  </r>
  <r>
    <s v="TASK0213"/>
    <s v="Security Patch"/>
    <s v="Nathan Clark"/>
    <s v="Operations"/>
    <d v="2026-02-13T00:00:00"/>
    <d v="2026-02-24T00:00:00"/>
    <d v="2026-02-26T00:00:00"/>
    <x v="2"/>
    <s v="Medium"/>
    <b v="1"/>
    <n v="2"/>
    <n v="6"/>
  </r>
  <r>
    <s v="TASK0214"/>
    <s v="Risk Assessment"/>
    <s v="Carol White"/>
    <s v="IT"/>
    <d v="2025-07-18T00:00:00"/>
    <d v="2025-07-27T00:00:00"/>
    <d v="2025-07-26T00:00:00"/>
    <x v="2"/>
    <s v="High"/>
    <b v="0"/>
    <n v="0"/>
    <n v="7"/>
  </r>
  <r>
    <s v="TASK0215"/>
    <s v="Security Patch"/>
    <s v="Maria Harris"/>
    <s v="IT"/>
    <d v="2025-10-26T00:00:00"/>
    <d v="2025-11-06T00:00:00"/>
    <m/>
    <x v="1"/>
    <s v="Medium"/>
    <b v="0"/>
    <n v="0"/>
    <n v="1"/>
  </r>
  <r>
    <s v="TASK0216"/>
    <s v="Dashboard Setup"/>
    <s v="Alice Johnson"/>
    <s v="Finance"/>
    <d v="2026-02-27T00:00:00"/>
    <d v="2026-03-25T00:00:00"/>
    <d v="2026-03-30T00:00:00"/>
    <x v="2"/>
    <s v="High"/>
    <b v="1"/>
    <n v="5"/>
    <n v="2"/>
  </r>
  <r>
    <s v="TASK0217"/>
    <s v="Data Migration"/>
    <s v="David Lee"/>
    <s v="Operations"/>
    <d v="2025-12-11T00:00:00"/>
    <d v="2025-12-17T00:00:00"/>
    <d v="2025-12-17T00:00:00"/>
    <x v="2"/>
    <s v="Medium"/>
    <b v="0"/>
    <n v="0"/>
    <n v="9"/>
  </r>
  <r>
    <s v="TASK0218"/>
    <s v="Client Presentation"/>
    <s v="Emma Brown"/>
    <s v="Sales"/>
    <d v="2026-03-09T00:00:00"/>
    <d v="2026-03-26T00:00:00"/>
    <m/>
    <x v="3"/>
    <s v="Medium"/>
    <b v="0"/>
    <n v="0"/>
    <n v="8"/>
  </r>
  <r>
    <s v="TASK0219"/>
    <s v="Security Patch"/>
    <s v="Isabella Taylor"/>
    <s v="Operations"/>
    <d v="2025-04-25T00:00:00"/>
    <d v="2025-05-06T00:00:00"/>
    <m/>
    <x v="1"/>
    <s v="Low"/>
    <b v="0"/>
    <n v="0"/>
    <n v="8"/>
  </r>
  <r>
    <s v="TASK0220"/>
    <s v="Performance Review"/>
    <s v="James Anderson"/>
    <s v="Sales"/>
    <d v="2025-07-18T00:00:00"/>
    <d v="2025-08-08T00:00:00"/>
    <m/>
    <x v="3"/>
    <s v="High"/>
    <b v="0"/>
    <n v="0"/>
    <n v="6"/>
  </r>
  <r>
    <s v="TASK0221"/>
    <s v="Market Analysis"/>
    <s v="Isabella Taylor"/>
    <s v="Operations"/>
    <d v="2025-10-02T00:00:00"/>
    <d v="2025-10-14T00:00:00"/>
    <m/>
    <x v="0"/>
    <s v="Medium"/>
    <b v="1"/>
    <n v="9"/>
    <n v="1"/>
  </r>
  <r>
    <s v="TASK0222"/>
    <s v="Stakeholder Report"/>
    <s v="Carol White"/>
    <s v="IT"/>
    <d v="2025-09-03T00:00:00"/>
    <d v="2025-09-25T00:00:00"/>
    <d v="2025-09-27T00:00:00"/>
    <x v="2"/>
    <s v="Low"/>
    <b v="1"/>
    <n v="2"/>
    <n v="10"/>
  </r>
  <r>
    <s v="TASK0223"/>
    <s v="Process Improvement"/>
    <s v="Grace Chen"/>
    <s v="HR"/>
    <d v="2026-02-15T00:00:00"/>
    <d v="2026-03-15T00:00:00"/>
    <d v="2026-03-22T00:00:00"/>
    <x v="2"/>
    <s v="High"/>
    <b v="1"/>
    <n v="7"/>
    <n v="7"/>
  </r>
  <r>
    <s v="TASK0224"/>
    <s v="Market Analysis"/>
    <s v="Emma Brown"/>
    <s v="Sales"/>
    <d v="2025-12-11T00:00:00"/>
    <d v="2025-12-20T00:00:00"/>
    <m/>
    <x v="0"/>
    <s v="Low"/>
    <b v="1"/>
    <n v="15"/>
    <n v="9"/>
  </r>
  <r>
    <s v="TASK0225"/>
    <s v="Contract Negotiation"/>
    <s v="Bob Martinez"/>
    <s v="HR"/>
    <d v="2025-10-18T00:00:00"/>
    <d v="2025-11-07T00:00:00"/>
    <d v="2025-11-07T00:00:00"/>
    <x v="2"/>
    <s v="Medium"/>
    <b v="0"/>
    <n v="0"/>
    <n v="5"/>
  </r>
  <r>
    <s v="TASK0226"/>
    <s v="Data Migration"/>
    <s v="Emma Brown"/>
    <s v="Sales"/>
    <d v="2025-04-09T00:00:00"/>
    <d v="2025-04-29T00:00:00"/>
    <d v="2025-05-05T00:00:00"/>
    <x v="2"/>
    <s v="Medium"/>
    <b v="1"/>
    <n v="6"/>
    <n v="3"/>
  </r>
  <r>
    <s v="TASK0227"/>
    <s v="Quarterly Report"/>
    <s v="Emma Brown"/>
    <s v="Sales"/>
    <d v="2025-06-01T00:00:00"/>
    <d v="2025-06-16T00:00:00"/>
    <d v="2025-06-21T00:00:00"/>
    <x v="2"/>
    <s v="High"/>
    <b v="1"/>
    <n v="5"/>
    <n v="9"/>
  </r>
  <r>
    <s v="TASK0228"/>
    <s v="Contract Negotiation"/>
    <s v="Carol White"/>
    <s v="IT"/>
    <d v="2025-02-22T00:00:00"/>
    <d v="2025-02-28T00:00:00"/>
    <m/>
    <x v="0"/>
    <s v="High"/>
    <b v="1"/>
    <n v="8"/>
    <n v="9"/>
  </r>
  <r>
    <s v="TASK0229"/>
    <s v="Quarterly Report"/>
    <s v="Grace Chen"/>
    <s v="HR"/>
    <d v="2025-07-10T00:00:00"/>
    <d v="2025-07-23T00:00:00"/>
    <d v="2025-07-27T00:00:00"/>
    <x v="2"/>
    <s v="High"/>
    <b v="1"/>
    <n v="4"/>
    <n v="10"/>
  </r>
  <r>
    <s v="TASK0230"/>
    <s v="Code Review"/>
    <s v="Nathan Clark"/>
    <s v="Operations"/>
    <d v="2025-03-04T00:00:00"/>
    <d v="2025-03-22T00:00:00"/>
    <d v="2025-03-27T00:00:00"/>
    <x v="2"/>
    <s v="Low"/>
    <b v="1"/>
    <n v="5"/>
    <n v="10"/>
  </r>
  <r>
    <s v="TASK0231"/>
    <s v="Risk Assessment"/>
    <s v="David Lee"/>
    <s v="Operations"/>
    <d v="2025-02-20T00:00:00"/>
    <d v="2025-03-14T00:00:00"/>
    <m/>
    <x v="1"/>
    <s v="Low"/>
    <b v="0"/>
    <n v="0"/>
    <n v="3"/>
  </r>
  <r>
    <s v="TASK0232"/>
    <s v="Training Session"/>
    <s v="Maria Harris"/>
    <s v="IT"/>
    <d v="2025-04-20T00:00:00"/>
    <d v="2025-05-06T00:00:00"/>
    <d v="2025-05-06T00:00:00"/>
    <x v="2"/>
    <s v="High"/>
    <b v="0"/>
    <n v="0"/>
    <n v="6"/>
  </r>
  <r>
    <s v="TASK0233"/>
    <s v="Market Analysis"/>
    <s v="Karen Thomas"/>
    <s v="Finance"/>
    <d v="2025-01-15T00:00:00"/>
    <d v="2025-01-31T00:00:00"/>
    <m/>
    <x v="3"/>
    <s v="Medium"/>
    <b v="0"/>
    <n v="0"/>
    <n v="1"/>
  </r>
  <r>
    <s v="TASK0234"/>
    <s v="Compliance Audit"/>
    <s v="Bob Martinez"/>
    <s v="HR"/>
    <d v="2025-05-24T00:00:00"/>
    <d v="2025-06-04T00:00:00"/>
    <m/>
    <x v="3"/>
    <s v="Medium"/>
    <b v="0"/>
    <n v="0"/>
    <n v="1"/>
  </r>
  <r>
    <s v="TASK0235"/>
    <s v="Vendor Evaluation"/>
    <s v="Grace Chen"/>
    <s v="HR"/>
    <d v="2025-12-10T00:00:00"/>
    <d v="2025-12-22T00:00:00"/>
    <d v="2025-12-23T00:00:00"/>
    <x v="2"/>
    <s v="Medium"/>
    <b v="1"/>
    <n v="1"/>
    <n v="4"/>
  </r>
  <r>
    <s v="TASK0236"/>
    <s v="Process Improvement"/>
    <s v="Liam Jackson"/>
    <s v="HR"/>
    <d v="2025-06-27T00:00:00"/>
    <d v="2025-07-08T00:00:00"/>
    <m/>
    <x v="0"/>
    <s v="Low"/>
    <b v="1"/>
    <n v="5"/>
    <n v="10"/>
  </r>
  <r>
    <s v="TASK0237"/>
    <s v="Stakeholder Report"/>
    <s v="Liam Jackson"/>
    <s v="HR"/>
    <d v="2025-05-01T00:00:00"/>
    <d v="2025-05-07T00:00:00"/>
    <d v="2025-05-10T00:00:00"/>
    <x v="2"/>
    <s v="Low"/>
    <b v="1"/>
    <n v="3"/>
    <n v="3"/>
  </r>
  <r>
    <s v="TASK0238"/>
    <s v="Product Launch"/>
    <s v="Nathan Clark"/>
    <s v="Operations"/>
    <d v="2025-05-07T00:00:00"/>
    <d v="2025-05-11T00:00:00"/>
    <d v="2025-05-14T00:00:00"/>
    <x v="2"/>
    <s v="Critical"/>
    <b v="1"/>
    <n v="3"/>
    <n v="4"/>
  </r>
  <r>
    <s v="TASK0239"/>
    <s v="Dashboard Setup"/>
    <s v="Alice Johnson"/>
    <s v="Finance"/>
    <d v="2025-02-14T00:00:00"/>
    <d v="2025-02-17T00:00:00"/>
    <d v="2025-02-18T00:00:00"/>
    <x v="2"/>
    <s v="Critical"/>
    <b v="1"/>
    <n v="1"/>
    <n v="9"/>
  </r>
  <r>
    <s v="TASK0240"/>
    <s v="System Upgrade"/>
    <s v="James Anderson"/>
    <s v="Sales"/>
    <d v="2025-01-30T00:00:00"/>
    <d v="2025-02-25T00:00:00"/>
    <d v="2025-02-25T00:00:00"/>
    <x v="2"/>
    <s v="Low"/>
    <b v="0"/>
    <n v="0"/>
    <n v="1"/>
  </r>
  <r>
    <s v="TASK0241"/>
    <s v="Budget Review"/>
    <s v="Maria Harris"/>
    <s v="IT"/>
    <d v="2025-07-10T00:00:00"/>
    <d v="2025-07-23T00:00:00"/>
    <m/>
    <x v="0"/>
    <s v="Medium"/>
    <b v="1"/>
    <n v="11"/>
    <n v="1"/>
  </r>
  <r>
    <s v="TASK0242"/>
    <s v="Product Launch"/>
    <s v="Liam Jackson"/>
    <s v="HR"/>
    <d v="2025-08-31T00:00:00"/>
    <d v="2025-09-23T00:00:00"/>
    <m/>
    <x v="0"/>
    <s v="High"/>
    <b v="1"/>
    <n v="14"/>
    <n v="3"/>
  </r>
  <r>
    <s v="TASK0243"/>
    <s v="Client Presentation"/>
    <s v="Grace Chen"/>
    <s v="HR"/>
    <d v="2025-10-19T00:00:00"/>
    <d v="2025-11-11T00:00:00"/>
    <d v="2025-11-18T00:00:00"/>
    <x v="2"/>
    <s v="High"/>
    <b v="1"/>
    <n v="7"/>
    <n v="7"/>
  </r>
  <r>
    <s v="TASK0244"/>
    <s v="Team Meeting"/>
    <s v="Bob Martinez"/>
    <s v="HR"/>
    <d v="2025-01-20T00:00:00"/>
    <d v="2025-02-14T00:00:00"/>
    <d v="2025-02-12T00:00:00"/>
    <x v="2"/>
    <s v="Critical"/>
    <b v="0"/>
    <n v="0"/>
    <n v="2"/>
  </r>
  <r>
    <s v="TASK0245"/>
    <s v="Vendor Evaluation"/>
    <s v="Frank Wilson"/>
    <s v="Finance"/>
    <d v="2025-03-22T00:00:00"/>
    <d v="2025-04-06T00:00:00"/>
    <d v="2025-04-13T00:00:00"/>
    <x v="2"/>
    <s v="Low"/>
    <b v="1"/>
    <n v="7"/>
    <n v="10"/>
  </r>
  <r>
    <s v="TASK0246"/>
    <s v="Stakeholder Report"/>
    <s v="Frank Wilson"/>
    <s v="Finance"/>
    <d v="2025-07-24T00:00:00"/>
    <d v="2025-08-01T00:00:00"/>
    <m/>
    <x v="3"/>
    <s v="Low"/>
    <b v="0"/>
    <n v="0"/>
    <n v="10"/>
  </r>
  <r>
    <s v="TASK0247"/>
    <s v="Data Migration"/>
    <s v="James Anderson"/>
    <s v="Sales"/>
    <d v="2025-11-27T00:00:00"/>
    <d v="2025-11-30T00:00:00"/>
    <d v="2025-12-03T00:00:00"/>
    <x v="2"/>
    <s v="Medium"/>
    <b v="1"/>
    <n v="3"/>
    <n v="3"/>
  </r>
  <r>
    <s v="TASK0248"/>
    <s v="Risk Assessment"/>
    <s v="Liam Jackson"/>
    <s v="HR"/>
    <d v="2025-01-12T00:00:00"/>
    <d v="2025-01-29T00:00:00"/>
    <m/>
    <x v="1"/>
    <s v="Low"/>
    <b v="0"/>
    <n v="0"/>
    <n v="6"/>
  </r>
  <r>
    <s v="TASK0249"/>
    <s v="Data Migration"/>
    <s v="Alice Johnson"/>
    <s v="Finance"/>
    <d v="2025-05-10T00:00:00"/>
    <d v="2025-05-24T00:00:00"/>
    <d v="2025-05-24T00:00:00"/>
    <x v="2"/>
    <s v="Medium"/>
    <b v="0"/>
    <n v="0"/>
    <n v="7"/>
  </r>
  <r>
    <s v="TASK0250"/>
    <s v="Performance Review"/>
    <s v="Liam Jackson"/>
    <s v="HR"/>
    <d v="2025-12-06T00:00:00"/>
    <d v="2025-12-16T00:00:00"/>
    <m/>
    <x v="1"/>
    <s v="Low"/>
    <b v="0"/>
    <n v="0"/>
    <n v="2"/>
  </r>
  <r>
    <s v="TASK0251"/>
    <s v="Contract Negotiation"/>
    <s v="Bob Martinez"/>
    <s v="HR"/>
    <d v="2025-11-01T00:00:00"/>
    <d v="2025-11-26T00:00:00"/>
    <m/>
    <x v="1"/>
    <s v="High"/>
    <b v="0"/>
    <n v="0"/>
    <n v="6"/>
  </r>
  <r>
    <s v="TASK0252"/>
    <s v="Stakeholder Report"/>
    <s v="Alice Johnson"/>
    <s v="Finance"/>
    <d v="2025-12-15T00:00:00"/>
    <d v="2026-01-04T00:00:00"/>
    <d v="2026-01-09T00:00:00"/>
    <x v="2"/>
    <s v="Critical"/>
    <b v="1"/>
    <n v="5"/>
    <n v="6"/>
  </r>
  <r>
    <s v="TASK0253"/>
    <s v="Risk Assessment"/>
    <s v="Carol White"/>
    <s v="IT"/>
    <d v="2026-01-14T00:00:00"/>
    <d v="2026-02-11T00:00:00"/>
    <d v="2026-02-13T00:00:00"/>
    <x v="2"/>
    <s v="Low"/>
    <b v="1"/>
    <n v="2"/>
    <n v="9"/>
  </r>
  <r>
    <s v="TASK0254"/>
    <s v="Team Meeting"/>
    <s v="Alice Johnson"/>
    <s v="Finance"/>
    <d v="2025-05-16T00:00:00"/>
    <d v="2025-06-06T00:00:00"/>
    <m/>
    <x v="1"/>
    <s v="High"/>
    <b v="0"/>
    <n v="0"/>
    <n v="5"/>
  </r>
  <r>
    <s v="TASK0255"/>
    <s v="System Upgrade"/>
    <s v="Alice Johnson"/>
    <s v="Finance"/>
    <d v="2025-07-10T00:00:00"/>
    <d v="2025-07-27T00:00:00"/>
    <d v="2025-07-26T00:00:00"/>
    <x v="2"/>
    <s v="Critical"/>
    <b v="0"/>
    <n v="0"/>
    <n v="3"/>
  </r>
  <r>
    <s v="TASK0256"/>
    <s v="Compliance Audit"/>
    <s v="Bob Martinez"/>
    <s v="HR"/>
    <d v="2025-06-12T00:00:00"/>
    <d v="2025-06-21T00:00:00"/>
    <d v="2025-06-19T00:00:00"/>
    <x v="2"/>
    <s v="Low"/>
    <b v="0"/>
    <n v="0"/>
    <n v="2"/>
  </r>
  <r>
    <s v="TASK0257"/>
    <s v="Process Improvement"/>
    <s v="Henry Davis"/>
    <s v="IT"/>
    <d v="2025-04-03T00:00:00"/>
    <d v="2025-04-27T00:00:00"/>
    <m/>
    <x v="1"/>
    <s v="High"/>
    <b v="0"/>
    <n v="0"/>
    <n v="4"/>
  </r>
  <r>
    <s v="TASK0258"/>
    <s v="System Upgrade"/>
    <s v="Nathan Clark"/>
    <s v="Operations"/>
    <d v="2025-01-23T00:00:00"/>
    <d v="2025-01-29T00:00:00"/>
    <d v="2025-01-31T00:00:00"/>
    <x v="2"/>
    <s v="Low"/>
    <b v="1"/>
    <n v="2"/>
    <n v="8"/>
  </r>
  <r>
    <s v="TASK0259"/>
    <s v="Dashboard Setup"/>
    <s v="James Anderson"/>
    <s v="Sales"/>
    <d v="2025-02-16T00:00:00"/>
    <d v="2025-03-13T00:00:00"/>
    <m/>
    <x v="0"/>
    <s v="High"/>
    <b v="1"/>
    <n v="14"/>
    <n v="10"/>
  </r>
  <r>
    <s v="TASK0260"/>
    <s v="Process Improvement"/>
    <s v="Henry Davis"/>
    <s v="IT"/>
    <d v="2025-01-29T00:00:00"/>
    <d v="2025-02-09T00:00:00"/>
    <d v="2025-02-11T00:00:00"/>
    <x v="2"/>
    <s v="Low"/>
    <b v="1"/>
    <n v="2"/>
    <n v="3"/>
  </r>
  <r>
    <s v="TASK0261"/>
    <s v="Team Meeting"/>
    <s v="Olivia Lewis"/>
    <s v="Sales"/>
    <d v="2025-12-27T00:00:00"/>
    <d v="2026-01-25T00:00:00"/>
    <m/>
    <x v="0"/>
    <s v="Medium"/>
    <b v="1"/>
    <n v="7"/>
    <n v="10"/>
  </r>
  <r>
    <s v="TASK0262"/>
    <s v="Performance Review"/>
    <s v="Henry Davis"/>
    <s v="IT"/>
    <d v="2025-12-29T00:00:00"/>
    <d v="2026-01-11T00:00:00"/>
    <m/>
    <x v="3"/>
    <s v="Medium"/>
    <b v="0"/>
    <n v="0"/>
    <n v="10"/>
  </r>
  <r>
    <s v="TASK0263"/>
    <s v="Client Presentation"/>
    <s v="Liam Jackson"/>
    <s v="HR"/>
    <d v="2025-03-28T00:00:00"/>
    <d v="2025-04-26T00:00:00"/>
    <d v="2025-04-25T00:00:00"/>
    <x v="2"/>
    <s v="High"/>
    <b v="0"/>
    <n v="0"/>
    <n v="6"/>
  </r>
  <r>
    <s v="TASK0264"/>
    <s v="Vendor Evaluation"/>
    <s v="Liam Jackson"/>
    <s v="HR"/>
    <d v="2025-07-03T00:00:00"/>
    <d v="2025-07-17T00:00:00"/>
    <d v="2025-07-19T00:00:00"/>
    <x v="2"/>
    <s v="Medium"/>
    <b v="1"/>
    <n v="2"/>
    <n v="9"/>
  </r>
  <r>
    <s v="TASK0265"/>
    <s v="Security Patch"/>
    <s v="Maria Harris"/>
    <s v="IT"/>
    <d v="2025-06-26T00:00:00"/>
    <d v="2025-07-19T00:00:00"/>
    <m/>
    <x v="3"/>
    <s v="Low"/>
    <b v="0"/>
    <n v="0"/>
    <n v="7"/>
  </r>
  <r>
    <s v="TASK0266"/>
    <s v="Risk Assessment"/>
    <s v="Emma Brown"/>
    <s v="Sales"/>
    <d v="2025-05-12T00:00:00"/>
    <d v="2025-06-01T00:00:00"/>
    <m/>
    <x v="1"/>
    <s v="Medium"/>
    <b v="0"/>
    <n v="0"/>
    <n v="4"/>
  </r>
  <r>
    <s v="TASK0267"/>
    <s v="Budget Review"/>
    <s v="Frank Wilson"/>
    <s v="Finance"/>
    <d v="2025-06-20T00:00:00"/>
    <d v="2025-07-07T00:00:00"/>
    <d v="2025-07-05T00:00:00"/>
    <x v="2"/>
    <s v="High"/>
    <b v="0"/>
    <n v="0"/>
    <n v="6"/>
  </r>
  <r>
    <s v="TASK0268"/>
    <s v="Stakeholder Report"/>
    <s v="Emma Brown"/>
    <s v="Sales"/>
    <d v="2025-04-07T00:00:00"/>
    <d v="2025-05-01T00:00:00"/>
    <d v="2025-05-04T00:00:00"/>
    <x v="2"/>
    <s v="Medium"/>
    <b v="1"/>
    <n v="3"/>
    <n v="2"/>
  </r>
  <r>
    <s v="TASK0269"/>
    <s v="Market Analysis"/>
    <s v="Liam Jackson"/>
    <s v="HR"/>
    <d v="2026-02-22T00:00:00"/>
    <d v="2026-03-01T00:00:00"/>
    <m/>
    <x v="0"/>
    <s v="High"/>
    <b v="1"/>
    <n v="12"/>
    <n v="8"/>
  </r>
  <r>
    <s v="TASK0270"/>
    <s v="Policy Update"/>
    <s v="Bob Martinez"/>
    <s v="HR"/>
    <d v="2025-06-26T00:00:00"/>
    <d v="2025-07-01T00:00:00"/>
    <m/>
    <x v="3"/>
    <s v="Critical"/>
    <b v="0"/>
    <n v="0"/>
    <n v="7"/>
  </r>
  <r>
    <s v="TASK0271"/>
    <s v="Quarterly Report"/>
    <s v="Nathan Clark"/>
    <s v="Operations"/>
    <d v="2026-02-26T00:00:00"/>
    <d v="2026-03-19T00:00:00"/>
    <d v="2026-03-26T00:00:00"/>
    <x v="2"/>
    <s v="Medium"/>
    <b v="1"/>
    <n v="7"/>
    <n v="7"/>
  </r>
  <r>
    <s v="TASK0272"/>
    <s v="Stakeholder Report"/>
    <s v="Isabella Taylor"/>
    <s v="Operations"/>
    <d v="2025-04-18T00:00:00"/>
    <d v="2025-05-04T00:00:00"/>
    <m/>
    <x v="0"/>
    <s v="Critical"/>
    <b v="1"/>
    <n v="4"/>
    <n v="2"/>
  </r>
  <r>
    <s v="TASK0273"/>
    <s v="Compliance Audit"/>
    <s v="Grace Chen"/>
    <s v="HR"/>
    <d v="2026-02-01T00:00:00"/>
    <d v="2026-02-27T00:00:00"/>
    <m/>
    <x v="0"/>
    <s v="Critical"/>
    <b v="1"/>
    <n v="19"/>
    <n v="10"/>
  </r>
  <r>
    <s v="TASK0274"/>
    <s v="Team Meeting"/>
    <s v="Frank Wilson"/>
    <s v="Finance"/>
    <d v="2025-07-15T00:00:00"/>
    <d v="2025-08-07T00:00:00"/>
    <d v="2025-08-06T00:00:00"/>
    <x v="2"/>
    <s v="Medium"/>
    <b v="0"/>
    <n v="0"/>
    <n v="7"/>
  </r>
  <r>
    <s v="TASK0275"/>
    <s v="Market Analysis"/>
    <s v="Henry Davis"/>
    <s v="IT"/>
    <d v="2025-12-23T00:00:00"/>
    <d v="2026-01-18T00:00:00"/>
    <m/>
    <x v="3"/>
    <s v="Medium"/>
    <b v="0"/>
    <n v="0"/>
    <n v="1"/>
  </r>
  <r>
    <s v="TASK0276"/>
    <s v="Training Session"/>
    <s v="Maria Harris"/>
    <s v="IT"/>
    <d v="2025-06-18T00:00:00"/>
    <d v="2025-06-24T00:00:00"/>
    <m/>
    <x v="0"/>
    <s v="Medium"/>
    <b v="1"/>
    <n v="2"/>
    <n v="2"/>
  </r>
  <r>
    <s v="TASK0277"/>
    <s v="Contract Negotiation"/>
    <s v="Frank Wilson"/>
    <s v="Finance"/>
    <d v="2026-03-18T00:00:00"/>
    <d v="2026-04-09T00:00:00"/>
    <m/>
    <x v="1"/>
    <s v="Medium"/>
    <b v="0"/>
    <n v="0"/>
    <n v="9"/>
  </r>
  <r>
    <s v="TASK0278"/>
    <s v="Process Improvement"/>
    <s v="James Anderson"/>
    <s v="Sales"/>
    <d v="2025-02-27T00:00:00"/>
    <d v="2025-03-05T00:00:00"/>
    <d v="2025-03-11T00:00:00"/>
    <x v="2"/>
    <s v="Medium"/>
    <b v="1"/>
    <n v="6"/>
    <n v="2"/>
  </r>
  <r>
    <s v="TASK0279"/>
    <s v="Compliance Audit"/>
    <s v="Liam Jackson"/>
    <s v="HR"/>
    <d v="2025-11-25T00:00:00"/>
    <d v="2025-12-21T00:00:00"/>
    <d v="2025-12-19T00:00:00"/>
    <x v="2"/>
    <s v="Low"/>
    <b v="0"/>
    <n v="0"/>
    <n v="8"/>
  </r>
  <r>
    <s v="TASK0280"/>
    <s v="Vendor Evaluation"/>
    <s v="Alice Johnson"/>
    <s v="Finance"/>
    <d v="2025-09-18T00:00:00"/>
    <d v="2025-09-25T00:00:00"/>
    <d v="2025-09-29T00:00:00"/>
    <x v="2"/>
    <s v="Medium"/>
    <b v="1"/>
    <n v="4"/>
    <n v="5"/>
  </r>
  <r>
    <s v="TASK0281"/>
    <s v="Quarterly Report"/>
    <s v="Karen Thomas"/>
    <s v="Finance"/>
    <d v="2025-09-19T00:00:00"/>
    <d v="2025-10-04T00:00:00"/>
    <m/>
    <x v="1"/>
    <s v="High"/>
    <b v="0"/>
    <n v="0"/>
    <n v="2"/>
  </r>
  <r>
    <s v="TASK0282"/>
    <s v="Training Session"/>
    <s v="Olivia Lewis"/>
    <s v="Sales"/>
    <d v="2025-03-26T00:00:00"/>
    <d v="2025-04-11T00:00:00"/>
    <d v="2025-04-12T00:00:00"/>
    <x v="2"/>
    <s v="High"/>
    <b v="1"/>
    <n v="1"/>
    <n v="6"/>
  </r>
  <r>
    <s v="TASK0283"/>
    <s v="Client Presentation"/>
    <s v="Carol White"/>
    <s v="IT"/>
    <d v="2025-12-31T00:00:00"/>
    <d v="2026-01-14T00:00:00"/>
    <d v="2026-01-21T00:00:00"/>
    <x v="2"/>
    <s v="Low"/>
    <b v="1"/>
    <n v="7"/>
    <n v="1"/>
  </r>
  <r>
    <s v="TASK0284"/>
    <s v="Stakeholder Report"/>
    <s v="David Lee"/>
    <s v="Operations"/>
    <d v="2025-10-13T00:00:00"/>
    <d v="2025-10-25T00:00:00"/>
    <m/>
    <x v="0"/>
    <s v="Medium"/>
    <b v="1"/>
    <n v="9"/>
    <n v="1"/>
  </r>
  <r>
    <s v="TASK0285"/>
    <s v="Performance Review"/>
    <s v="Carol White"/>
    <s v="IT"/>
    <d v="2026-03-24T00:00:00"/>
    <d v="2026-04-08T00:00:00"/>
    <d v="2026-04-15T00:00:00"/>
    <x v="2"/>
    <s v="Critical"/>
    <b v="1"/>
    <n v="7"/>
    <n v="5"/>
  </r>
  <r>
    <s v="TASK0286"/>
    <s v="Product Launch"/>
    <s v="James Anderson"/>
    <s v="Sales"/>
    <d v="2026-02-11T00:00:00"/>
    <d v="2026-02-24T00:00:00"/>
    <d v="2026-02-22T00:00:00"/>
    <x v="2"/>
    <s v="Medium"/>
    <b v="0"/>
    <n v="0"/>
    <n v="1"/>
  </r>
  <r>
    <s v="TASK0287"/>
    <s v="Data Migration"/>
    <s v="Emma Brown"/>
    <s v="Sales"/>
    <d v="2025-01-27T00:00:00"/>
    <d v="2025-01-30T00:00:00"/>
    <d v="2025-02-05T00:00:00"/>
    <x v="2"/>
    <s v="Low"/>
    <b v="1"/>
    <n v="6"/>
    <n v="10"/>
  </r>
  <r>
    <s v="TASK0288"/>
    <s v="Stakeholder Report"/>
    <s v="Olivia Lewis"/>
    <s v="Sales"/>
    <d v="2025-09-13T00:00:00"/>
    <d v="2025-10-05T00:00:00"/>
    <m/>
    <x v="3"/>
    <s v="Medium"/>
    <b v="0"/>
    <n v="0"/>
    <n v="2"/>
  </r>
  <r>
    <s v="TASK0289"/>
    <s v="Market Analysis"/>
    <s v="Frank Wilson"/>
    <s v="Finance"/>
    <d v="2025-05-10T00:00:00"/>
    <d v="2025-05-21T00:00:00"/>
    <d v="2025-05-26T00:00:00"/>
    <x v="2"/>
    <s v="Medium"/>
    <b v="1"/>
    <n v="5"/>
    <n v="2"/>
  </r>
  <r>
    <s v="TASK0290"/>
    <s v="Budget Review"/>
    <s v="Carol White"/>
    <s v="IT"/>
    <d v="2025-10-31T00:00:00"/>
    <d v="2025-11-26T00:00:00"/>
    <m/>
    <x v="3"/>
    <s v="High"/>
    <b v="0"/>
    <n v="0"/>
    <n v="2"/>
  </r>
  <r>
    <s v="TASK0291"/>
    <s v="Contract Negotiation"/>
    <s v="Bob Martinez"/>
    <s v="HR"/>
    <d v="2026-01-14T00:00:00"/>
    <d v="2026-01-26T00:00:00"/>
    <m/>
    <x v="3"/>
    <s v="Low"/>
    <b v="0"/>
    <n v="0"/>
    <n v="8"/>
  </r>
  <r>
    <s v="TASK0292"/>
    <s v="Product Launch"/>
    <s v="Olivia Lewis"/>
    <s v="Sales"/>
    <d v="2025-06-24T00:00:00"/>
    <d v="2025-07-11T00:00:00"/>
    <m/>
    <x v="0"/>
    <s v="High"/>
    <b v="1"/>
    <n v="19"/>
    <n v="4"/>
  </r>
  <r>
    <s v="TASK0293"/>
    <s v="Risk Assessment"/>
    <s v="Nathan Clark"/>
    <s v="Operations"/>
    <d v="2025-07-25T00:00:00"/>
    <d v="2025-08-09T00:00:00"/>
    <m/>
    <x v="1"/>
    <s v="Low"/>
    <b v="0"/>
    <n v="0"/>
    <n v="8"/>
  </r>
  <r>
    <s v="TASK0294"/>
    <s v="System Upgrade"/>
    <s v="Maria Harris"/>
    <s v="IT"/>
    <d v="2025-02-10T00:00:00"/>
    <d v="2025-03-04T00:00:00"/>
    <d v="2025-03-02T00:00:00"/>
    <x v="2"/>
    <s v="High"/>
    <b v="0"/>
    <n v="0"/>
    <n v="4"/>
  </r>
  <r>
    <s v="TASK0295"/>
    <s v="Policy Update"/>
    <s v="Isabella Taylor"/>
    <s v="Operations"/>
    <d v="2025-10-03T00:00:00"/>
    <d v="2025-10-08T00:00:00"/>
    <m/>
    <x v="3"/>
    <s v="Medium"/>
    <b v="0"/>
    <n v="0"/>
    <n v="8"/>
  </r>
  <r>
    <s v="TASK0296"/>
    <s v="Market Analysis"/>
    <s v="Alice Johnson"/>
    <s v="Finance"/>
    <d v="2026-01-04T00:00:00"/>
    <d v="2026-01-12T00:00:00"/>
    <d v="2026-01-13T00:00:00"/>
    <x v="2"/>
    <s v="High"/>
    <b v="1"/>
    <n v="1"/>
    <n v="3"/>
  </r>
  <r>
    <s v="TASK0297"/>
    <s v="Client Presentation"/>
    <s v="Henry Davis"/>
    <s v="IT"/>
    <d v="2025-09-11T00:00:00"/>
    <d v="2025-09-15T00:00:00"/>
    <m/>
    <x v="3"/>
    <s v="Low"/>
    <b v="0"/>
    <n v="0"/>
    <n v="1"/>
  </r>
  <r>
    <s v="TASK0298"/>
    <s v="System Upgrade"/>
    <s v="Frank Wilson"/>
    <s v="Finance"/>
    <d v="2025-09-13T00:00:00"/>
    <d v="2025-09-25T00:00:00"/>
    <d v="2025-10-02T00:00:00"/>
    <x v="2"/>
    <s v="Critical"/>
    <b v="1"/>
    <n v="7"/>
    <n v="2"/>
  </r>
  <r>
    <s v="TASK0299"/>
    <s v="Product Launch"/>
    <s v="David Lee"/>
    <s v="Operations"/>
    <d v="2025-12-27T00:00:00"/>
    <d v="2026-01-22T00:00:00"/>
    <d v="2026-01-26T00:00:00"/>
    <x v="2"/>
    <s v="Medium"/>
    <b v="1"/>
    <n v="4"/>
    <n v="6"/>
  </r>
  <r>
    <s v="TASK0300"/>
    <s v="System Upgrade"/>
    <s v="James Anderson"/>
    <s v="Sales"/>
    <d v="2025-02-10T00:00:00"/>
    <d v="2025-02-25T00:00:00"/>
    <d v="2025-02-25T00:00:00"/>
    <x v="2"/>
    <s v="Low"/>
    <b v="0"/>
    <n v="0"/>
    <n v="9"/>
  </r>
  <r>
    <s v="TASK0301"/>
    <s v="Compliance Audit"/>
    <s v="Grace Chen"/>
    <s v="HR"/>
    <d v="2025-12-13T00:00:00"/>
    <d v="2025-12-19T00:00:00"/>
    <d v="2025-12-22T00:00:00"/>
    <x v="2"/>
    <s v="Low"/>
    <b v="1"/>
    <n v="3"/>
    <n v="5"/>
  </r>
  <r>
    <s v="TASK0302"/>
    <s v="Team Meeting"/>
    <s v="Grace Chen"/>
    <s v="HR"/>
    <d v="2025-10-30T00:00:00"/>
    <d v="2025-11-06T00:00:00"/>
    <m/>
    <x v="1"/>
    <s v="High"/>
    <b v="0"/>
    <n v="0"/>
    <n v="2"/>
  </r>
  <r>
    <s v="TASK0303"/>
    <s v="Team Meeting"/>
    <s v="Grace Chen"/>
    <s v="HR"/>
    <d v="2025-11-18T00:00:00"/>
    <d v="2025-12-16T00:00:00"/>
    <m/>
    <x v="1"/>
    <s v="High"/>
    <b v="0"/>
    <n v="0"/>
    <n v="10"/>
  </r>
  <r>
    <s v="TASK0304"/>
    <s v="Product Launch"/>
    <s v="Liam Jackson"/>
    <s v="HR"/>
    <d v="2025-08-22T00:00:00"/>
    <d v="2025-08-25T00:00:00"/>
    <d v="2025-08-28T00:00:00"/>
    <x v="2"/>
    <s v="High"/>
    <b v="1"/>
    <n v="3"/>
    <n v="2"/>
  </r>
  <r>
    <s v="TASK0305"/>
    <s v="Product Launch"/>
    <s v="Olivia Lewis"/>
    <s v="Sales"/>
    <d v="2025-08-04T00:00:00"/>
    <d v="2025-08-31T00:00:00"/>
    <d v="2025-09-02T00:00:00"/>
    <x v="2"/>
    <s v="Low"/>
    <b v="1"/>
    <n v="2"/>
    <n v="5"/>
  </r>
  <r>
    <s v="TASK0306"/>
    <s v="Security Patch"/>
    <s v="Olivia Lewis"/>
    <s v="Sales"/>
    <d v="2025-10-14T00:00:00"/>
    <d v="2025-11-02T00:00:00"/>
    <d v="2025-10-31T00:00:00"/>
    <x v="2"/>
    <s v="Medium"/>
    <b v="0"/>
    <n v="0"/>
    <n v="1"/>
  </r>
  <r>
    <s v="TASK0307"/>
    <s v="Data Migration"/>
    <s v="Isabella Taylor"/>
    <s v="Operations"/>
    <d v="2025-08-03T00:00:00"/>
    <d v="2025-08-25T00:00:00"/>
    <m/>
    <x v="0"/>
    <s v="Medium"/>
    <b v="1"/>
    <n v="2"/>
    <n v="10"/>
  </r>
  <r>
    <s v="TASK0308"/>
    <s v="Code Review"/>
    <s v="Maria Harris"/>
    <s v="IT"/>
    <d v="2025-07-12T00:00:00"/>
    <d v="2025-07-27T00:00:00"/>
    <m/>
    <x v="0"/>
    <s v="Medium"/>
    <b v="1"/>
    <n v="13"/>
    <n v="9"/>
  </r>
  <r>
    <s v="TASK0309"/>
    <s v="Process Improvement"/>
    <s v="Carol White"/>
    <s v="IT"/>
    <d v="2025-10-26T00:00:00"/>
    <d v="2025-11-19T00:00:00"/>
    <d v="2025-11-23T00:00:00"/>
    <x v="2"/>
    <s v="Medium"/>
    <b v="1"/>
    <n v="4"/>
    <n v="9"/>
  </r>
  <r>
    <s v="TASK0310"/>
    <s v="Contract Negotiation"/>
    <s v="Nathan Clark"/>
    <s v="Operations"/>
    <d v="2026-01-01T00:00:00"/>
    <d v="2026-01-13T00:00:00"/>
    <d v="2026-01-16T00:00:00"/>
    <x v="2"/>
    <s v="High"/>
    <b v="1"/>
    <n v="3"/>
    <n v="10"/>
  </r>
  <r>
    <s v="TASK0311"/>
    <s v="Training Session"/>
    <s v="Alice Johnson"/>
    <s v="Finance"/>
    <d v="2025-12-02T00:00:00"/>
    <d v="2025-12-14T00:00:00"/>
    <d v="2025-12-13T00:00:00"/>
    <x v="2"/>
    <s v="Medium"/>
    <b v="0"/>
    <n v="0"/>
    <n v="8"/>
  </r>
  <r>
    <s v="TASK0312"/>
    <s v="Client Presentation"/>
    <s v="Frank Wilson"/>
    <s v="Finance"/>
    <d v="2026-02-07T00:00:00"/>
    <d v="2026-03-01T00:00:00"/>
    <m/>
    <x v="0"/>
    <s v="Medium"/>
    <b v="1"/>
    <n v="6"/>
    <n v="2"/>
  </r>
  <r>
    <s v="TASK0313"/>
    <s v="Data Migration"/>
    <s v="Isabella Taylor"/>
    <s v="Operations"/>
    <d v="2025-03-30T00:00:00"/>
    <d v="2025-04-12T00:00:00"/>
    <d v="2025-04-12T00:00:00"/>
    <x v="2"/>
    <s v="Low"/>
    <b v="0"/>
    <n v="0"/>
    <n v="2"/>
  </r>
  <r>
    <s v="TASK0314"/>
    <s v="Team Meeting"/>
    <s v="Emma Brown"/>
    <s v="Sales"/>
    <d v="2025-11-15T00:00:00"/>
    <d v="2025-12-10T00:00:00"/>
    <m/>
    <x v="0"/>
    <s v="Low"/>
    <b v="1"/>
    <n v="4"/>
    <n v="6"/>
  </r>
  <r>
    <s v="TASK0315"/>
    <s v="Performance Review"/>
    <s v="Liam Jackson"/>
    <s v="HR"/>
    <d v="2025-05-04T00:00:00"/>
    <d v="2025-05-13T00:00:00"/>
    <d v="2025-05-14T00:00:00"/>
    <x v="2"/>
    <s v="Medium"/>
    <b v="1"/>
    <n v="1"/>
    <n v="4"/>
  </r>
  <r>
    <s v="TASK0316"/>
    <s v="System Upgrade"/>
    <s v="Frank Wilson"/>
    <s v="Finance"/>
    <d v="2025-02-01T00:00:00"/>
    <d v="2025-02-15T00:00:00"/>
    <m/>
    <x v="1"/>
    <s v="Medium"/>
    <b v="0"/>
    <n v="0"/>
    <n v="2"/>
  </r>
  <r>
    <s v="TASK0317"/>
    <s v="Policy Update"/>
    <s v="Henry Davis"/>
    <s v="IT"/>
    <d v="2025-04-03T00:00:00"/>
    <d v="2025-04-18T00:00:00"/>
    <m/>
    <x v="0"/>
    <s v="Medium"/>
    <b v="1"/>
    <n v="9"/>
    <n v="2"/>
  </r>
  <r>
    <s v="TASK0318"/>
    <s v="Team Meeting"/>
    <s v="Maria Harris"/>
    <s v="IT"/>
    <d v="2025-04-15T00:00:00"/>
    <d v="2025-04-30T00:00:00"/>
    <d v="2025-05-01T00:00:00"/>
    <x v="2"/>
    <s v="High"/>
    <b v="1"/>
    <n v="1"/>
    <n v="2"/>
  </r>
  <r>
    <s v="TASK0319"/>
    <s v="Compliance Audit"/>
    <s v="Frank Wilson"/>
    <s v="Finance"/>
    <d v="2025-03-24T00:00:00"/>
    <d v="2025-04-03T00:00:00"/>
    <m/>
    <x v="0"/>
    <s v="High"/>
    <b v="1"/>
    <n v="7"/>
    <n v="2"/>
  </r>
  <r>
    <s v="TASK0320"/>
    <s v="Performance Review"/>
    <s v="Bob Martinez"/>
    <s v="HR"/>
    <d v="2026-02-10T00:00:00"/>
    <d v="2026-02-19T00:00:00"/>
    <d v="2026-02-22T00:00:00"/>
    <x v="2"/>
    <s v="Medium"/>
    <b v="1"/>
    <n v="3"/>
    <n v="9"/>
  </r>
  <r>
    <s v="TASK0321"/>
    <s v="Contract Negotiation"/>
    <s v="Liam Jackson"/>
    <s v="HR"/>
    <d v="2025-01-11T00:00:00"/>
    <d v="2025-02-06T00:00:00"/>
    <d v="2025-02-10T00:00:00"/>
    <x v="2"/>
    <s v="Low"/>
    <b v="1"/>
    <n v="4"/>
    <n v="7"/>
  </r>
  <r>
    <s v="TASK0322"/>
    <s v="Code Review"/>
    <s v="Olivia Lewis"/>
    <s v="Sales"/>
    <d v="2025-08-15T00:00:00"/>
    <d v="2025-09-08T00:00:00"/>
    <m/>
    <x v="0"/>
    <s v="Medium"/>
    <b v="1"/>
    <n v="7"/>
    <n v="9"/>
  </r>
  <r>
    <s v="TASK0323"/>
    <s v="Risk Assessment"/>
    <s v="Grace Chen"/>
    <s v="HR"/>
    <d v="2025-07-30T00:00:00"/>
    <d v="2025-08-15T00:00:00"/>
    <d v="2025-08-17T00:00:00"/>
    <x v="2"/>
    <s v="Critical"/>
    <b v="1"/>
    <n v="2"/>
    <n v="6"/>
  </r>
  <r>
    <s v="TASK0324"/>
    <s v="Policy Update"/>
    <s v="Grace Chen"/>
    <s v="HR"/>
    <d v="2026-03-22T00:00:00"/>
    <d v="2026-03-27T00:00:00"/>
    <m/>
    <x v="1"/>
    <s v="Medium"/>
    <b v="0"/>
    <n v="0"/>
    <n v="7"/>
  </r>
  <r>
    <s v="TASK0325"/>
    <s v="Dashboard Setup"/>
    <s v="Karen Thomas"/>
    <s v="Finance"/>
    <d v="2026-03-24T00:00:00"/>
    <d v="2026-04-14T00:00:00"/>
    <m/>
    <x v="0"/>
    <s v="Medium"/>
    <b v="1"/>
    <n v="17"/>
    <n v="3"/>
  </r>
  <r>
    <s v="TASK0326"/>
    <s v="Security Patch"/>
    <s v="Bob Martinez"/>
    <s v="HR"/>
    <d v="2025-05-01T00:00:00"/>
    <d v="2025-05-26T00:00:00"/>
    <d v="2025-05-30T00:00:00"/>
    <x v="2"/>
    <s v="High"/>
    <b v="1"/>
    <n v="4"/>
    <n v="9"/>
  </r>
  <r>
    <s v="TASK0327"/>
    <s v="Contract Negotiation"/>
    <s v="James Anderson"/>
    <s v="Sales"/>
    <d v="2025-05-14T00:00:00"/>
    <d v="2025-05-22T00:00:00"/>
    <m/>
    <x v="1"/>
    <s v="High"/>
    <b v="0"/>
    <n v="0"/>
    <n v="10"/>
  </r>
  <r>
    <s v="TASK0328"/>
    <s v="Code Review"/>
    <s v="Carol White"/>
    <s v="IT"/>
    <d v="2025-12-11T00:00:00"/>
    <d v="2025-12-24T00:00:00"/>
    <d v="2025-12-22T00:00:00"/>
    <x v="2"/>
    <s v="High"/>
    <b v="0"/>
    <n v="0"/>
    <n v="7"/>
  </r>
  <r>
    <s v="TASK0329"/>
    <s v="Team Meeting"/>
    <s v="Maria Harris"/>
    <s v="IT"/>
    <d v="2025-04-12T00:00:00"/>
    <d v="2025-05-06T00:00:00"/>
    <d v="2025-05-13T00:00:00"/>
    <x v="2"/>
    <s v="Medium"/>
    <b v="1"/>
    <n v="7"/>
    <n v="8"/>
  </r>
  <r>
    <s v="TASK0330"/>
    <s v="Vendor Evaluation"/>
    <s v="David Lee"/>
    <s v="Operations"/>
    <d v="2026-03-26T00:00:00"/>
    <d v="2026-04-19T00:00:00"/>
    <d v="2026-04-21T00:00:00"/>
    <x v="2"/>
    <s v="Low"/>
    <b v="1"/>
    <n v="2"/>
    <n v="3"/>
  </r>
  <r>
    <s v="TASK0331"/>
    <s v="Data Migration"/>
    <s v="David Lee"/>
    <s v="Operations"/>
    <d v="2025-01-03T00:00:00"/>
    <d v="2025-01-17T00:00:00"/>
    <m/>
    <x v="3"/>
    <s v="High"/>
    <b v="0"/>
    <n v="0"/>
    <n v="6"/>
  </r>
  <r>
    <s v="TASK0332"/>
    <s v="Contract Negotiation"/>
    <s v="Olivia Lewis"/>
    <s v="Sales"/>
    <d v="2025-12-14T00:00:00"/>
    <d v="2026-01-01T00:00:00"/>
    <m/>
    <x v="0"/>
    <s v="High"/>
    <b v="1"/>
    <n v="8"/>
    <n v="5"/>
  </r>
  <r>
    <s v="TASK0333"/>
    <s v="Training Session"/>
    <s v="Liam Jackson"/>
    <s v="HR"/>
    <d v="2025-09-15T00:00:00"/>
    <d v="2025-09-27T00:00:00"/>
    <d v="2025-10-04T00:00:00"/>
    <x v="2"/>
    <s v="High"/>
    <b v="1"/>
    <n v="7"/>
    <n v="9"/>
  </r>
  <r>
    <s v="TASK0334"/>
    <s v="Security Patch"/>
    <s v="Nathan Clark"/>
    <s v="Operations"/>
    <d v="2025-12-31T00:00:00"/>
    <d v="2026-01-23T00:00:00"/>
    <d v="2026-01-21T00:00:00"/>
    <x v="2"/>
    <s v="High"/>
    <b v="0"/>
    <n v="0"/>
    <n v="1"/>
  </r>
  <r>
    <s v="TASK0335"/>
    <s v="Client Presentation"/>
    <s v="Carol White"/>
    <s v="IT"/>
    <d v="2025-03-26T00:00:00"/>
    <d v="2025-04-02T00:00:00"/>
    <d v="2025-04-01T00:00:00"/>
    <x v="2"/>
    <s v="Medium"/>
    <b v="0"/>
    <n v="0"/>
    <n v="4"/>
  </r>
  <r>
    <s v="TASK0336"/>
    <s v="Product Launch"/>
    <s v="Isabella Taylor"/>
    <s v="Operations"/>
    <d v="2025-10-17T00:00:00"/>
    <d v="2025-11-08T00:00:00"/>
    <m/>
    <x v="0"/>
    <s v="Medium"/>
    <b v="1"/>
    <n v="14"/>
    <n v="5"/>
  </r>
  <r>
    <s v="TASK0337"/>
    <s v="Client Presentation"/>
    <s v="Carol White"/>
    <s v="IT"/>
    <d v="2026-02-20T00:00:00"/>
    <d v="2026-02-24T00:00:00"/>
    <d v="2026-02-24T00:00:00"/>
    <x v="2"/>
    <s v="Medium"/>
    <b v="0"/>
    <n v="0"/>
    <n v="10"/>
  </r>
  <r>
    <s v="TASK0338"/>
    <s v="Process Improvement"/>
    <s v="Olivia Lewis"/>
    <s v="Sales"/>
    <d v="2025-07-30T00:00:00"/>
    <d v="2025-08-05T00:00:00"/>
    <d v="2025-08-05T00:00:00"/>
    <x v="2"/>
    <s v="Medium"/>
    <b v="0"/>
    <n v="0"/>
    <n v="8"/>
  </r>
  <r>
    <s v="TASK0339"/>
    <s v="Team Meeting"/>
    <s v="Carol White"/>
    <s v="IT"/>
    <d v="2025-12-25T00:00:00"/>
    <d v="2026-01-02T00:00:00"/>
    <d v="2026-01-09T00:00:00"/>
    <x v="2"/>
    <s v="Medium"/>
    <b v="1"/>
    <n v="7"/>
    <n v="2"/>
  </r>
  <r>
    <s v="TASK0340"/>
    <s v="System Upgrade"/>
    <s v="Isabella Taylor"/>
    <s v="Operations"/>
    <d v="2025-04-25T00:00:00"/>
    <d v="2025-05-05T00:00:00"/>
    <d v="2025-05-04T00:00:00"/>
    <x v="2"/>
    <s v="High"/>
    <b v="0"/>
    <n v="0"/>
    <n v="9"/>
  </r>
  <r>
    <s v="TASK0341"/>
    <s v="Process Improvement"/>
    <s v="Alice Johnson"/>
    <s v="Finance"/>
    <d v="2026-01-17T00:00:00"/>
    <d v="2026-02-06T00:00:00"/>
    <d v="2026-02-07T00:00:00"/>
    <x v="2"/>
    <s v="Medium"/>
    <b v="1"/>
    <n v="1"/>
    <n v="10"/>
  </r>
  <r>
    <s v="TASK0342"/>
    <s v="Process Improvement"/>
    <s v="David Lee"/>
    <s v="Operations"/>
    <d v="2025-12-19T00:00:00"/>
    <d v="2025-12-26T00:00:00"/>
    <m/>
    <x v="1"/>
    <s v="High"/>
    <b v="0"/>
    <n v="0"/>
    <n v="1"/>
  </r>
  <r>
    <s v="TASK0343"/>
    <s v="Policy Update"/>
    <s v="David Lee"/>
    <s v="Operations"/>
    <d v="2025-02-02T00:00:00"/>
    <d v="2025-02-11T00:00:00"/>
    <m/>
    <x v="0"/>
    <s v="Low"/>
    <b v="1"/>
    <n v="10"/>
    <n v="3"/>
  </r>
  <r>
    <s v="TASK0344"/>
    <s v="Contract Negotiation"/>
    <s v="Alice Johnson"/>
    <s v="Finance"/>
    <d v="2025-08-30T00:00:00"/>
    <d v="2025-09-22T00:00:00"/>
    <d v="2025-09-26T00:00:00"/>
    <x v="2"/>
    <s v="Low"/>
    <b v="1"/>
    <n v="4"/>
    <n v="1"/>
  </r>
  <r>
    <s v="TASK0345"/>
    <s v="Security Patch"/>
    <s v="Bob Martinez"/>
    <s v="HR"/>
    <d v="2026-03-15T00:00:00"/>
    <d v="2026-03-29T00:00:00"/>
    <m/>
    <x v="3"/>
    <s v="Medium"/>
    <b v="0"/>
    <n v="0"/>
    <n v="2"/>
  </r>
  <r>
    <s v="TASK0346"/>
    <s v="Quarterly Report"/>
    <s v="Alice Johnson"/>
    <s v="Finance"/>
    <d v="2026-01-05T00:00:00"/>
    <d v="2026-01-12T00:00:00"/>
    <m/>
    <x v="0"/>
    <s v="Medium"/>
    <b v="1"/>
    <n v="15"/>
    <n v="9"/>
  </r>
  <r>
    <s v="TASK0347"/>
    <s v="Compliance Audit"/>
    <s v="James Anderson"/>
    <s v="Sales"/>
    <d v="2025-08-15T00:00:00"/>
    <d v="2025-09-05T00:00:00"/>
    <d v="2025-09-08T00:00:00"/>
    <x v="2"/>
    <s v="High"/>
    <b v="1"/>
    <n v="3"/>
    <n v="3"/>
  </r>
  <r>
    <s v="TASK0348"/>
    <s v="Market Analysis"/>
    <s v="Henry Davis"/>
    <s v="IT"/>
    <d v="2026-02-15T00:00:00"/>
    <d v="2026-03-11T00:00:00"/>
    <m/>
    <x v="0"/>
    <s v="High"/>
    <b v="1"/>
    <n v="5"/>
    <n v="6"/>
  </r>
  <r>
    <s v="TASK0349"/>
    <s v="Dashboard Setup"/>
    <s v="Liam Jackson"/>
    <s v="HR"/>
    <d v="2025-03-26T00:00:00"/>
    <d v="2025-04-07T00:00:00"/>
    <d v="2025-04-12T00:00:00"/>
    <x v="2"/>
    <s v="Medium"/>
    <b v="1"/>
    <n v="5"/>
    <n v="8"/>
  </r>
  <r>
    <s v="TASK0350"/>
    <s v="Team Meeting"/>
    <s v="Grace Chen"/>
    <s v="HR"/>
    <d v="2026-03-19T00:00:00"/>
    <d v="2026-04-01T00:00:00"/>
    <m/>
    <x v="3"/>
    <s v="Medium"/>
    <b v="0"/>
    <n v="0"/>
    <n v="10"/>
  </r>
  <r>
    <s v="TASK0351"/>
    <s v="Market Analysis"/>
    <s v="Frank Wilson"/>
    <s v="Finance"/>
    <d v="2025-04-10T00:00:00"/>
    <d v="2025-04-15T00:00:00"/>
    <d v="2025-04-18T00:00:00"/>
    <x v="2"/>
    <s v="Medium"/>
    <b v="1"/>
    <n v="3"/>
    <n v="1"/>
  </r>
  <r>
    <s v="TASK0352"/>
    <s v="Dashboard Setup"/>
    <s v="Grace Chen"/>
    <s v="HR"/>
    <d v="2025-09-28T00:00:00"/>
    <d v="2025-10-11T00:00:00"/>
    <d v="2025-10-15T00:00:00"/>
    <x v="2"/>
    <s v="Low"/>
    <b v="1"/>
    <n v="4"/>
    <n v="6"/>
  </r>
  <r>
    <s v="TASK0353"/>
    <s v="Dashboard Setup"/>
    <s v="Olivia Lewis"/>
    <s v="Sales"/>
    <d v="2025-04-04T00:00:00"/>
    <d v="2025-04-16T00:00:00"/>
    <d v="2025-04-16T00:00:00"/>
    <x v="2"/>
    <s v="Low"/>
    <b v="0"/>
    <n v="0"/>
    <n v="3"/>
  </r>
  <r>
    <s v="TASK0354"/>
    <s v="Quarterly Report"/>
    <s v="James Anderson"/>
    <s v="Sales"/>
    <d v="2025-07-24T00:00:00"/>
    <d v="2025-08-01T00:00:00"/>
    <m/>
    <x v="0"/>
    <s v="Medium"/>
    <b v="1"/>
    <n v="18"/>
    <n v="10"/>
  </r>
  <r>
    <s v="TASK0355"/>
    <s v="Budget Review"/>
    <s v="Karen Thomas"/>
    <s v="Finance"/>
    <d v="2025-07-23T00:00:00"/>
    <d v="2025-08-04T00:00:00"/>
    <d v="2025-08-10T00:00:00"/>
    <x v="2"/>
    <s v="Medium"/>
    <b v="1"/>
    <n v="6"/>
    <n v="5"/>
  </r>
  <r>
    <s v="TASK0356"/>
    <s v="Code Review"/>
    <s v="Maria Harris"/>
    <s v="IT"/>
    <d v="2026-01-26T00:00:00"/>
    <d v="2026-01-30T00:00:00"/>
    <d v="2026-01-31T00:00:00"/>
    <x v="2"/>
    <s v="Critical"/>
    <b v="1"/>
    <n v="1"/>
    <n v="5"/>
  </r>
  <r>
    <s v="TASK0357"/>
    <s v="Security Patch"/>
    <s v="Liam Jackson"/>
    <s v="HR"/>
    <d v="2025-11-27T00:00:00"/>
    <d v="2025-12-23T00:00:00"/>
    <m/>
    <x v="0"/>
    <s v="High"/>
    <b v="1"/>
    <n v="6"/>
    <n v="3"/>
  </r>
  <r>
    <s v="TASK0358"/>
    <s v="Client Presentation"/>
    <s v="David Lee"/>
    <s v="Operations"/>
    <d v="2025-12-24T00:00:00"/>
    <d v="2026-01-02T00:00:00"/>
    <m/>
    <x v="0"/>
    <s v="Medium"/>
    <b v="1"/>
    <n v="8"/>
    <n v="8"/>
  </r>
  <r>
    <s v="TASK0359"/>
    <s v="Contract Negotiation"/>
    <s v="Alice Johnson"/>
    <s v="Finance"/>
    <d v="2025-06-17T00:00:00"/>
    <d v="2025-07-10T00:00:00"/>
    <m/>
    <x v="1"/>
    <s v="Low"/>
    <b v="0"/>
    <n v="0"/>
    <n v="2"/>
  </r>
  <r>
    <s v="TASK0360"/>
    <s v="Budget Review"/>
    <s v="Nathan Clark"/>
    <s v="Operations"/>
    <d v="2025-10-16T00:00:00"/>
    <d v="2025-10-27T00:00:00"/>
    <d v="2025-10-27T00:00:00"/>
    <x v="2"/>
    <s v="Medium"/>
    <b v="0"/>
    <n v="0"/>
    <n v="6"/>
  </r>
  <r>
    <s v="TASK0361"/>
    <s v="Market Analysis"/>
    <s v="Alice Johnson"/>
    <s v="Finance"/>
    <d v="2025-09-18T00:00:00"/>
    <d v="2025-09-24T00:00:00"/>
    <d v="2025-09-23T00:00:00"/>
    <x v="2"/>
    <s v="Low"/>
    <b v="0"/>
    <n v="0"/>
    <n v="9"/>
  </r>
  <r>
    <s v="TASK0362"/>
    <s v="Policy Update"/>
    <s v="David Lee"/>
    <s v="Operations"/>
    <d v="2025-05-30T00:00:00"/>
    <d v="2025-06-24T00:00:00"/>
    <m/>
    <x v="3"/>
    <s v="Low"/>
    <b v="0"/>
    <n v="0"/>
    <n v="10"/>
  </r>
  <r>
    <s v="TASK0363"/>
    <s v="System Upgrade"/>
    <s v="Carol White"/>
    <s v="IT"/>
    <d v="2025-06-21T00:00:00"/>
    <d v="2025-06-25T00:00:00"/>
    <d v="2025-06-23T00:00:00"/>
    <x v="2"/>
    <s v="High"/>
    <b v="0"/>
    <n v="0"/>
    <n v="2"/>
  </r>
  <r>
    <s v="TASK0364"/>
    <s v="Policy Update"/>
    <s v="Olivia Lewis"/>
    <s v="Sales"/>
    <d v="2025-11-27T00:00:00"/>
    <d v="2025-12-15T00:00:00"/>
    <d v="2025-12-13T00:00:00"/>
    <x v="2"/>
    <s v="Critical"/>
    <b v="0"/>
    <n v="0"/>
    <n v="6"/>
  </r>
  <r>
    <s v="TASK0365"/>
    <s v="Contract Negotiation"/>
    <s v="Liam Jackson"/>
    <s v="HR"/>
    <d v="2025-07-17T00:00:00"/>
    <d v="2025-08-03T00:00:00"/>
    <m/>
    <x v="0"/>
    <s v="Medium"/>
    <b v="1"/>
    <n v="18"/>
    <n v="4"/>
  </r>
  <r>
    <s v="TASK0366"/>
    <s v="Risk Assessment"/>
    <s v="Karen Thomas"/>
    <s v="Finance"/>
    <d v="2025-01-31T00:00:00"/>
    <d v="2025-02-07T00:00:00"/>
    <d v="2025-02-09T00:00:00"/>
    <x v="2"/>
    <s v="Medium"/>
    <b v="1"/>
    <n v="2"/>
    <n v="2"/>
  </r>
  <r>
    <s v="TASK0367"/>
    <s v="Client Presentation"/>
    <s v="Liam Jackson"/>
    <s v="HR"/>
    <d v="2025-12-26T00:00:00"/>
    <d v="2026-01-20T00:00:00"/>
    <d v="2026-01-24T00:00:00"/>
    <x v="2"/>
    <s v="High"/>
    <b v="1"/>
    <n v="4"/>
    <n v="8"/>
  </r>
  <r>
    <s v="TASK0368"/>
    <s v="Budget Review"/>
    <s v="Emma Brown"/>
    <s v="Sales"/>
    <d v="2026-02-01T00:00:00"/>
    <d v="2026-02-24T00:00:00"/>
    <m/>
    <x v="0"/>
    <s v="Medium"/>
    <b v="1"/>
    <n v="4"/>
    <n v="9"/>
  </r>
  <r>
    <s v="TASK0369"/>
    <s v="Code Review"/>
    <s v="Emma Brown"/>
    <s v="Sales"/>
    <d v="2025-02-20T00:00:00"/>
    <d v="2025-03-02T00:00:00"/>
    <m/>
    <x v="1"/>
    <s v="High"/>
    <b v="0"/>
    <n v="0"/>
    <n v="7"/>
  </r>
  <r>
    <s v="TASK0370"/>
    <s v="Data Migration"/>
    <s v="Olivia Lewis"/>
    <s v="Sales"/>
    <d v="2025-10-07T00:00:00"/>
    <d v="2025-10-22T00:00:00"/>
    <m/>
    <x v="1"/>
    <s v="High"/>
    <b v="0"/>
    <n v="0"/>
    <n v="6"/>
  </r>
  <r>
    <s v="TASK0371"/>
    <s v="Vendor Evaluation"/>
    <s v="James Anderson"/>
    <s v="Sales"/>
    <d v="2025-10-05T00:00:00"/>
    <d v="2025-10-26T00:00:00"/>
    <d v="2025-10-29T00:00:00"/>
    <x v="2"/>
    <s v="Medium"/>
    <b v="1"/>
    <n v="3"/>
    <n v="4"/>
  </r>
  <r>
    <s v="TASK0372"/>
    <s v="Process Improvement"/>
    <s v="Karen Thomas"/>
    <s v="Finance"/>
    <d v="2025-07-15T00:00:00"/>
    <d v="2025-07-20T00:00:00"/>
    <d v="2025-07-27T00:00:00"/>
    <x v="2"/>
    <s v="Critical"/>
    <b v="1"/>
    <n v="7"/>
    <n v="1"/>
  </r>
  <r>
    <s v="TASK0373"/>
    <s v="Client Presentation"/>
    <s v="David Lee"/>
    <s v="Operations"/>
    <d v="2026-01-16T00:00:00"/>
    <d v="2026-02-10T00:00:00"/>
    <m/>
    <x v="0"/>
    <s v="Medium"/>
    <b v="1"/>
    <n v="9"/>
    <n v="8"/>
  </r>
  <r>
    <s v="TASK0374"/>
    <s v="Risk Assessment"/>
    <s v="Isabella Taylor"/>
    <s v="Operations"/>
    <d v="2025-02-07T00:00:00"/>
    <d v="2025-02-26T00:00:00"/>
    <d v="2025-03-03T00:00:00"/>
    <x v="2"/>
    <s v="Medium"/>
    <b v="1"/>
    <n v="5"/>
    <n v="6"/>
  </r>
  <r>
    <s v="TASK0375"/>
    <s v="Contract Negotiation"/>
    <s v="Nathan Clark"/>
    <s v="Operations"/>
    <d v="2026-03-26T00:00:00"/>
    <d v="2026-04-17T00:00:00"/>
    <d v="2026-04-16T00:00:00"/>
    <x v="2"/>
    <s v="Medium"/>
    <b v="0"/>
    <n v="0"/>
    <n v="7"/>
  </r>
  <r>
    <s v="TASK0376"/>
    <s v="Code Review"/>
    <s v="Bob Martinez"/>
    <s v="HR"/>
    <d v="2025-05-31T00:00:00"/>
    <d v="2025-06-16T00:00:00"/>
    <d v="2025-06-19T00:00:00"/>
    <x v="2"/>
    <s v="Medium"/>
    <b v="1"/>
    <n v="3"/>
    <n v="6"/>
  </r>
  <r>
    <s v="TASK0377"/>
    <s v="Team Meeting"/>
    <s v="Henry Davis"/>
    <s v="IT"/>
    <d v="2025-07-11T00:00:00"/>
    <d v="2025-07-19T00:00:00"/>
    <d v="2025-07-18T00:00:00"/>
    <x v="2"/>
    <s v="Low"/>
    <b v="0"/>
    <n v="0"/>
    <n v="6"/>
  </r>
  <r>
    <s v="TASK0378"/>
    <s v="Dashboard Setup"/>
    <s v="Bob Martinez"/>
    <s v="HR"/>
    <d v="2025-08-31T00:00:00"/>
    <d v="2025-09-22T00:00:00"/>
    <d v="2025-09-27T00:00:00"/>
    <x v="2"/>
    <s v="Critical"/>
    <b v="1"/>
    <n v="5"/>
    <n v="4"/>
  </r>
  <r>
    <s v="TASK0379"/>
    <s v="Code Review"/>
    <s v="Alice Johnson"/>
    <s v="Finance"/>
    <d v="2026-03-12T00:00:00"/>
    <d v="2026-03-19T00:00:00"/>
    <d v="2026-03-21T00:00:00"/>
    <x v="2"/>
    <s v="Medium"/>
    <b v="1"/>
    <n v="2"/>
    <n v="2"/>
  </r>
  <r>
    <s v="TASK0380"/>
    <s v="Process Improvement"/>
    <s v="James Anderson"/>
    <s v="Sales"/>
    <d v="2025-05-11T00:00:00"/>
    <d v="2025-06-03T00:00:00"/>
    <m/>
    <x v="1"/>
    <s v="High"/>
    <b v="0"/>
    <n v="0"/>
    <n v="4"/>
  </r>
  <r>
    <s v="TASK0381"/>
    <s v="Team Meeting"/>
    <s v="Carol White"/>
    <s v="IT"/>
    <d v="2025-12-07T00:00:00"/>
    <d v="2025-12-23T00:00:00"/>
    <d v="2025-12-29T00:00:00"/>
    <x v="2"/>
    <s v="Low"/>
    <b v="1"/>
    <n v="6"/>
    <n v="3"/>
  </r>
  <r>
    <s v="TASK0382"/>
    <s v="Compliance Audit"/>
    <s v="Frank Wilson"/>
    <s v="Finance"/>
    <d v="2025-04-23T00:00:00"/>
    <d v="2025-05-14T00:00:00"/>
    <d v="2025-05-14T00:00:00"/>
    <x v="2"/>
    <s v="High"/>
    <b v="0"/>
    <n v="0"/>
    <n v="10"/>
  </r>
  <r>
    <s v="TASK0383"/>
    <s v="System Upgrade"/>
    <s v="James Anderson"/>
    <s v="Sales"/>
    <d v="2025-08-26T00:00:00"/>
    <d v="2025-09-07T00:00:00"/>
    <m/>
    <x v="3"/>
    <s v="Low"/>
    <b v="0"/>
    <n v="0"/>
    <n v="6"/>
  </r>
  <r>
    <s v="TASK0384"/>
    <s v="Client Presentation"/>
    <s v="James Anderson"/>
    <s v="Sales"/>
    <d v="2025-06-20T00:00:00"/>
    <d v="2025-07-07T00:00:00"/>
    <m/>
    <x v="3"/>
    <s v="Low"/>
    <b v="0"/>
    <n v="0"/>
    <n v="4"/>
  </r>
  <r>
    <s v="TASK0385"/>
    <s v="Client Presentation"/>
    <s v="Karen Thomas"/>
    <s v="Finance"/>
    <d v="2026-03-20T00:00:00"/>
    <d v="2026-04-04T00:00:00"/>
    <d v="2026-04-11T00:00:00"/>
    <x v="2"/>
    <s v="High"/>
    <b v="1"/>
    <n v="7"/>
    <n v="9"/>
  </r>
  <r>
    <s v="TASK0386"/>
    <s v="Quarterly Report"/>
    <s v="Nathan Clark"/>
    <s v="Operations"/>
    <d v="2025-05-25T00:00:00"/>
    <d v="2025-06-14T00:00:00"/>
    <d v="2025-06-17T00:00:00"/>
    <x v="2"/>
    <s v="Medium"/>
    <b v="1"/>
    <n v="3"/>
    <n v="10"/>
  </r>
  <r>
    <s v="TASK0387"/>
    <s v="Process Improvement"/>
    <s v="Bob Martinez"/>
    <s v="HR"/>
    <d v="2025-07-03T00:00:00"/>
    <d v="2025-07-24T00:00:00"/>
    <m/>
    <x v="1"/>
    <s v="Medium"/>
    <b v="0"/>
    <n v="0"/>
    <n v="6"/>
  </r>
  <r>
    <s v="TASK0388"/>
    <s v="System Upgrade"/>
    <s v="Liam Jackson"/>
    <s v="HR"/>
    <d v="2025-07-13T00:00:00"/>
    <d v="2025-07-21T00:00:00"/>
    <d v="2025-07-24T00:00:00"/>
    <x v="2"/>
    <s v="High"/>
    <b v="1"/>
    <n v="3"/>
    <n v="6"/>
  </r>
  <r>
    <s v="TASK0389"/>
    <s v="Dashboard Setup"/>
    <s v="Maria Harris"/>
    <s v="IT"/>
    <d v="2026-03-20T00:00:00"/>
    <d v="2026-04-06T00:00:00"/>
    <d v="2026-04-05T00:00:00"/>
    <x v="2"/>
    <s v="Medium"/>
    <b v="0"/>
    <n v="0"/>
    <n v="2"/>
  </r>
  <r>
    <s v="TASK0390"/>
    <s v="Vendor Evaluation"/>
    <s v="Alice Johnson"/>
    <s v="Finance"/>
    <d v="2026-02-06T00:00:00"/>
    <d v="2026-02-16T00:00:00"/>
    <d v="2026-02-20T00:00:00"/>
    <x v="2"/>
    <s v="High"/>
    <b v="1"/>
    <n v="4"/>
    <n v="3"/>
  </r>
  <r>
    <s v="TASK0391"/>
    <s v="Quarterly Report"/>
    <s v="Alice Johnson"/>
    <s v="Finance"/>
    <d v="2025-01-11T00:00:00"/>
    <d v="2025-02-05T00:00:00"/>
    <m/>
    <x v="1"/>
    <s v="Critical"/>
    <b v="0"/>
    <n v="0"/>
    <n v="9"/>
  </r>
  <r>
    <s v="TASK0392"/>
    <s v="Vendor Evaluation"/>
    <s v="Bob Martinez"/>
    <s v="HR"/>
    <d v="2025-07-19T00:00:00"/>
    <d v="2025-08-01T00:00:00"/>
    <d v="2025-07-30T00:00:00"/>
    <x v="2"/>
    <s v="Medium"/>
    <b v="0"/>
    <n v="0"/>
    <n v="2"/>
  </r>
  <r>
    <s v="TASK0393"/>
    <s v="Product Launch"/>
    <s v="Grace Chen"/>
    <s v="HR"/>
    <d v="2025-03-22T00:00:00"/>
    <d v="2025-04-10T00:00:00"/>
    <d v="2025-04-17T00:00:00"/>
    <x v="2"/>
    <s v="Low"/>
    <b v="1"/>
    <n v="7"/>
    <n v="9"/>
  </r>
  <r>
    <s v="TASK0394"/>
    <s v="Policy Update"/>
    <s v="Frank Wilson"/>
    <s v="Finance"/>
    <d v="2025-10-24T00:00:00"/>
    <d v="2025-10-30T00:00:00"/>
    <d v="2025-11-04T00:00:00"/>
    <x v="2"/>
    <s v="High"/>
    <b v="1"/>
    <n v="5"/>
    <n v="6"/>
  </r>
  <r>
    <s v="TASK0395"/>
    <s v="Training Session"/>
    <s v="Carol White"/>
    <s v="IT"/>
    <d v="2025-05-16T00:00:00"/>
    <d v="2025-06-12T00:00:00"/>
    <d v="2025-06-14T00:00:00"/>
    <x v="2"/>
    <s v="Low"/>
    <b v="1"/>
    <n v="2"/>
    <n v="6"/>
  </r>
  <r>
    <s v="TASK0396"/>
    <s v="System Upgrade"/>
    <s v="Liam Jackson"/>
    <s v="HR"/>
    <d v="2025-06-08T00:00:00"/>
    <d v="2025-06-24T00:00:00"/>
    <d v="2025-06-29T00:00:00"/>
    <x v="2"/>
    <s v="High"/>
    <b v="1"/>
    <n v="5"/>
    <n v="4"/>
  </r>
  <r>
    <s v="TASK0397"/>
    <s v="Client Presentation"/>
    <s v="Frank Wilson"/>
    <s v="Finance"/>
    <d v="2025-10-02T00:00:00"/>
    <d v="2025-10-22T00:00:00"/>
    <m/>
    <x v="1"/>
    <s v="Medium"/>
    <b v="0"/>
    <n v="0"/>
    <n v="1"/>
  </r>
  <r>
    <s v="TASK0398"/>
    <s v="System Upgrade"/>
    <s v="Liam Jackson"/>
    <s v="HR"/>
    <d v="2026-01-25T00:00:00"/>
    <d v="2026-02-09T00:00:00"/>
    <m/>
    <x v="1"/>
    <s v="Low"/>
    <b v="0"/>
    <n v="0"/>
    <n v="1"/>
  </r>
  <r>
    <s v="TASK0399"/>
    <s v="Stakeholder Report"/>
    <s v="James Anderson"/>
    <s v="Sales"/>
    <d v="2025-04-11T00:00:00"/>
    <d v="2025-04-29T00:00:00"/>
    <d v="2025-05-01T00:00:00"/>
    <x v="2"/>
    <s v="High"/>
    <b v="1"/>
    <n v="2"/>
    <n v="7"/>
  </r>
  <r>
    <s v="TASK0400"/>
    <s v="Training Session"/>
    <s v="Carol White"/>
    <s v="IT"/>
    <d v="2026-02-21T00:00:00"/>
    <d v="2026-03-07T00:00:00"/>
    <m/>
    <x v="0"/>
    <s v="High"/>
    <b v="1"/>
    <n v="4"/>
    <n v="5"/>
  </r>
  <r>
    <s v="TASK0401"/>
    <s v="Product Launch"/>
    <s v="James Anderson"/>
    <s v="Sales"/>
    <d v="2026-03-05T00:00:00"/>
    <d v="2026-03-21T00:00:00"/>
    <m/>
    <x v="3"/>
    <s v="Critical"/>
    <b v="0"/>
    <n v="0"/>
    <n v="10"/>
  </r>
  <r>
    <s v="TASK0402"/>
    <s v="Code Review"/>
    <s v="Alice Johnson"/>
    <s v="Finance"/>
    <d v="2025-04-15T00:00:00"/>
    <d v="2025-05-14T00:00:00"/>
    <m/>
    <x v="3"/>
    <s v="Medium"/>
    <b v="0"/>
    <n v="0"/>
    <n v="2"/>
  </r>
  <r>
    <s v="TASK0403"/>
    <s v="Budget Review"/>
    <s v="Carol White"/>
    <s v="IT"/>
    <d v="2025-10-04T00:00:00"/>
    <d v="2025-11-01T00:00:00"/>
    <m/>
    <x v="0"/>
    <s v="Critical"/>
    <b v="1"/>
    <n v="12"/>
    <n v="6"/>
  </r>
  <r>
    <s v="TASK0404"/>
    <s v="Vendor Evaluation"/>
    <s v="Henry Davis"/>
    <s v="IT"/>
    <d v="2025-11-29T00:00:00"/>
    <d v="2025-12-21T00:00:00"/>
    <d v="2025-12-19T00:00:00"/>
    <x v="2"/>
    <s v="Medium"/>
    <b v="0"/>
    <n v="0"/>
    <n v="5"/>
  </r>
  <r>
    <s v="TASK0405"/>
    <s v="Security Patch"/>
    <s v="Karen Thomas"/>
    <s v="Finance"/>
    <d v="2025-08-18T00:00:00"/>
    <d v="2025-09-04T00:00:00"/>
    <d v="2025-09-05T00:00:00"/>
    <x v="2"/>
    <s v="Low"/>
    <b v="1"/>
    <n v="1"/>
    <n v="8"/>
  </r>
  <r>
    <s v="TASK0406"/>
    <s v="Market Analysis"/>
    <s v="Nathan Clark"/>
    <s v="Operations"/>
    <d v="2025-03-20T00:00:00"/>
    <d v="2025-04-02T00:00:00"/>
    <d v="2025-04-02T00:00:00"/>
    <x v="2"/>
    <s v="Medium"/>
    <b v="0"/>
    <n v="0"/>
    <n v="10"/>
  </r>
  <r>
    <s v="TASK0407"/>
    <s v="Budget Review"/>
    <s v="Karen Thomas"/>
    <s v="Finance"/>
    <d v="2025-04-07T00:00:00"/>
    <d v="2025-05-05T00:00:00"/>
    <m/>
    <x v="0"/>
    <s v="Low"/>
    <b v="1"/>
    <n v="17"/>
    <n v="5"/>
  </r>
  <r>
    <s v="TASK0408"/>
    <s v="Training Session"/>
    <s v="James Anderson"/>
    <s v="Sales"/>
    <d v="2025-10-06T00:00:00"/>
    <d v="2025-10-21T00:00:00"/>
    <d v="2025-10-28T00:00:00"/>
    <x v="2"/>
    <s v="Low"/>
    <b v="1"/>
    <n v="7"/>
    <n v="4"/>
  </r>
  <r>
    <s v="TASK0409"/>
    <s v="Product Launch"/>
    <s v="Bob Martinez"/>
    <s v="HR"/>
    <d v="2025-03-09T00:00:00"/>
    <d v="2025-03-24T00:00:00"/>
    <m/>
    <x v="3"/>
    <s v="Medium"/>
    <b v="0"/>
    <n v="0"/>
    <n v="3"/>
  </r>
  <r>
    <s v="TASK0410"/>
    <s v="Budget Review"/>
    <s v="Bob Martinez"/>
    <s v="HR"/>
    <d v="2025-07-06T00:00:00"/>
    <d v="2025-07-21T00:00:00"/>
    <d v="2025-07-26T00:00:00"/>
    <x v="2"/>
    <s v="Medium"/>
    <b v="1"/>
    <n v="5"/>
    <n v="4"/>
  </r>
  <r>
    <s v="TASK0411"/>
    <s v="Policy Update"/>
    <s v="Liam Jackson"/>
    <s v="HR"/>
    <d v="2025-11-26T00:00:00"/>
    <d v="2025-12-13T00:00:00"/>
    <d v="2025-12-14T00:00:00"/>
    <x v="2"/>
    <s v="High"/>
    <b v="1"/>
    <n v="1"/>
    <n v="1"/>
  </r>
  <r>
    <s v="TASK0412"/>
    <s v="Vendor Evaluation"/>
    <s v="Maria Harris"/>
    <s v="IT"/>
    <d v="2025-03-27T00:00:00"/>
    <d v="2025-04-02T00:00:00"/>
    <m/>
    <x v="3"/>
    <s v="Medium"/>
    <b v="0"/>
    <n v="0"/>
    <n v="3"/>
  </r>
  <r>
    <s v="TASK0413"/>
    <s v="Data Migration"/>
    <s v="Frank Wilson"/>
    <s v="Finance"/>
    <d v="2025-03-10T00:00:00"/>
    <d v="2025-03-18T00:00:00"/>
    <d v="2025-03-22T00:00:00"/>
    <x v="2"/>
    <s v="Medium"/>
    <b v="1"/>
    <n v="4"/>
    <n v="9"/>
  </r>
  <r>
    <s v="TASK0414"/>
    <s v="Client Presentation"/>
    <s v="Bob Martinez"/>
    <s v="HR"/>
    <d v="2025-07-18T00:00:00"/>
    <d v="2025-08-08T00:00:00"/>
    <d v="2025-08-10T00:00:00"/>
    <x v="2"/>
    <s v="High"/>
    <b v="1"/>
    <n v="2"/>
    <n v="1"/>
  </r>
  <r>
    <s v="TASK0415"/>
    <s v="Vendor Evaluation"/>
    <s v="Isabella Taylor"/>
    <s v="Operations"/>
    <d v="2025-10-04T00:00:00"/>
    <d v="2025-10-15T00:00:00"/>
    <d v="2025-10-16T00:00:00"/>
    <x v="2"/>
    <s v="High"/>
    <b v="1"/>
    <n v="1"/>
    <n v="6"/>
  </r>
  <r>
    <s v="TASK0416"/>
    <s v="Risk Assessment"/>
    <s v="Emma Brown"/>
    <s v="Sales"/>
    <d v="2025-04-22T00:00:00"/>
    <d v="2025-05-04T00:00:00"/>
    <d v="2025-05-06T00:00:00"/>
    <x v="2"/>
    <s v="High"/>
    <b v="1"/>
    <n v="2"/>
    <n v="7"/>
  </r>
  <r>
    <s v="TASK0417"/>
    <s v="Policy Update"/>
    <s v="Emma Brown"/>
    <s v="Sales"/>
    <d v="2025-08-27T00:00:00"/>
    <d v="2025-09-04T00:00:00"/>
    <d v="2025-09-07T00:00:00"/>
    <x v="2"/>
    <s v="Low"/>
    <b v="1"/>
    <n v="3"/>
    <n v="4"/>
  </r>
  <r>
    <s v="TASK0418"/>
    <s v="Stakeholder Report"/>
    <s v="Carol White"/>
    <s v="IT"/>
    <d v="2025-07-09T00:00:00"/>
    <d v="2025-07-31T00:00:00"/>
    <d v="2025-07-30T00:00:00"/>
    <x v="2"/>
    <s v="Medium"/>
    <b v="0"/>
    <n v="0"/>
    <n v="1"/>
  </r>
  <r>
    <s v="TASK0419"/>
    <s v="Market Analysis"/>
    <s v="Bob Martinez"/>
    <s v="HR"/>
    <d v="2025-09-28T00:00:00"/>
    <d v="2025-10-07T00:00:00"/>
    <d v="2025-10-12T00:00:00"/>
    <x v="2"/>
    <s v="Low"/>
    <b v="1"/>
    <n v="5"/>
    <n v="8"/>
  </r>
  <r>
    <s v="TASK0420"/>
    <s v="Data Migration"/>
    <s v="Nathan Clark"/>
    <s v="Operations"/>
    <d v="2026-02-23T00:00:00"/>
    <d v="2026-03-24T00:00:00"/>
    <m/>
    <x v="1"/>
    <s v="Medium"/>
    <b v="0"/>
    <n v="0"/>
    <n v="3"/>
  </r>
  <r>
    <s v="TASK0421"/>
    <s v="Product Launch"/>
    <s v="Olivia Lewis"/>
    <s v="Sales"/>
    <d v="2025-08-30T00:00:00"/>
    <d v="2025-09-05T00:00:00"/>
    <d v="2025-09-10T00:00:00"/>
    <x v="2"/>
    <s v="Critical"/>
    <b v="1"/>
    <n v="5"/>
    <n v="10"/>
  </r>
  <r>
    <s v="TASK0422"/>
    <s v="Risk Assessment"/>
    <s v="Frank Wilson"/>
    <s v="Finance"/>
    <d v="2025-02-16T00:00:00"/>
    <d v="2025-03-13T00:00:00"/>
    <d v="2025-03-16T00:00:00"/>
    <x v="2"/>
    <s v="Low"/>
    <b v="1"/>
    <n v="3"/>
    <n v="1"/>
  </r>
  <r>
    <s v="TASK0423"/>
    <s v="Risk Assessment"/>
    <s v="Emma Brown"/>
    <s v="Sales"/>
    <d v="2025-01-09T00:00:00"/>
    <d v="2025-01-15T00:00:00"/>
    <m/>
    <x v="3"/>
    <s v="Medium"/>
    <b v="0"/>
    <n v="0"/>
    <n v="3"/>
  </r>
  <r>
    <s v="TASK0424"/>
    <s v="Dashboard Setup"/>
    <s v="David Lee"/>
    <s v="Operations"/>
    <d v="2025-08-15T00:00:00"/>
    <d v="2025-08-19T00:00:00"/>
    <d v="2025-08-17T00:00:00"/>
    <x v="2"/>
    <s v="Low"/>
    <b v="0"/>
    <n v="0"/>
    <n v="1"/>
  </r>
  <r>
    <s v="TASK0425"/>
    <s v="Market Analysis"/>
    <s v="Isabella Taylor"/>
    <s v="Operations"/>
    <d v="2026-03-14T00:00:00"/>
    <d v="2026-04-12T00:00:00"/>
    <d v="2026-04-12T00:00:00"/>
    <x v="2"/>
    <s v="Low"/>
    <b v="0"/>
    <n v="0"/>
    <n v="5"/>
  </r>
  <r>
    <s v="TASK0426"/>
    <s v="System Upgrade"/>
    <s v="Nathan Clark"/>
    <s v="Operations"/>
    <d v="2025-05-06T00:00:00"/>
    <d v="2025-05-20T00:00:00"/>
    <d v="2025-05-26T00:00:00"/>
    <x v="2"/>
    <s v="Low"/>
    <b v="1"/>
    <n v="6"/>
    <n v="6"/>
  </r>
  <r>
    <s v="TASK0427"/>
    <s v="Client Presentation"/>
    <s v="Maria Harris"/>
    <s v="IT"/>
    <d v="2025-03-25T00:00:00"/>
    <d v="2025-04-16T00:00:00"/>
    <m/>
    <x v="3"/>
    <s v="Medium"/>
    <b v="0"/>
    <n v="0"/>
    <n v="4"/>
  </r>
  <r>
    <s v="TASK0428"/>
    <s v="Client Presentation"/>
    <s v="Emma Brown"/>
    <s v="Sales"/>
    <d v="2025-11-18T00:00:00"/>
    <d v="2025-12-09T00:00:00"/>
    <d v="2025-12-11T00:00:00"/>
    <x v="2"/>
    <s v="Critical"/>
    <b v="1"/>
    <n v="2"/>
    <n v="6"/>
  </r>
  <r>
    <s v="TASK0429"/>
    <s v="Performance Review"/>
    <s v="Carol White"/>
    <s v="IT"/>
    <d v="2025-06-30T00:00:00"/>
    <d v="2025-07-12T00:00:00"/>
    <d v="2025-07-13T00:00:00"/>
    <x v="2"/>
    <s v="Medium"/>
    <b v="1"/>
    <n v="1"/>
    <n v="6"/>
  </r>
  <r>
    <s v="TASK0430"/>
    <s v="Stakeholder Report"/>
    <s v="Karen Thomas"/>
    <s v="Finance"/>
    <d v="2025-01-26T00:00:00"/>
    <d v="2025-02-13T00:00:00"/>
    <d v="2025-02-13T00:00:00"/>
    <x v="2"/>
    <s v="Medium"/>
    <b v="0"/>
    <n v="0"/>
    <n v="2"/>
  </r>
  <r>
    <s v="TASK0431"/>
    <s v="Quarterly Report"/>
    <s v="David Lee"/>
    <s v="Operations"/>
    <d v="2025-09-12T00:00:00"/>
    <d v="2025-09-28T00:00:00"/>
    <d v="2025-10-01T00:00:00"/>
    <x v="2"/>
    <s v="Low"/>
    <b v="1"/>
    <n v="3"/>
    <n v="8"/>
  </r>
  <r>
    <s v="TASK0432"/>
    <s v="System Upgrade"/>
    <s v="Bob Martinez"/>
    <s v="HR"/>
    <d v="2025-05-14T00:00:00"/>
    <d v="2025-06-07T00:00:00"/>
    <m/>
    <x v="0"/>
    <s v="High"/>
    <b v="1"/>
    <n v="18"/>
    <n v="4"/>
  </r>
  <r>
    <s v="TASK0433"/>
    <s v="Security Patch"/>
    <s v="Olivia Lewis"/>
    <s v="Sales"/>
    <d v="2025-11-05T00:00:00"/>
    <d v="2025-12-04T00:00:00"/>
    <m/>
    <x v="1"/>
    <s v="Medium"/>
    <b v="0"/>
    <n v="0"/>
    <n v="5"/>
  </r>
  <r>
    <s v="TASK0434"/>
    <s v="Policy Update"/>
    <s v="Henry Davis"/>
    <s v="IT"/>
    <d v="2025-08-28T00:00:00"/>
    <d v="2025-09-21T00:00:00"/>
    <d v="2025-09-20T00:00:00"/>
    <x v="2"/>
    <s v="High"/>
    <b v="0"/>
    <n v="0"/>
    <n v="4"/>
  </r>
  <r>
    <s v="TASK0435"/>
    <s v="Contract Negotiation"/>
    <s v="Grace Chen"/>
    <s v="HR"/>
    <d v="2025-04-30T00:00:00"/>
    <d v="2025-05-09T00:00:00"/>
    <m/>
    <x v="3"/>
    <s v="Critical"/>
    <b v="0"/>
    <n v="0"/>
    <n v="7"/>
  </r>
  <r>
    <s v="TASK0436"/>
    <s v="Data Migration"/>
    <s v="Alice Johnson"/>
    <s v="Finance"/>
    <d v="2026-01-07T00:00:00"/>
    <d v="2026-01-10T00:00:00"/>
    <d v="2026-01-11T00:00:00"/>
    <x v="2"/>
    <s v="High"/>
    <b v="1"/>
    <n v="1"/>
    <n v="4"/>
  </r>
  <r>
    <s v="TASK0437"/>
    <s v="Performance Review"/>
    <s v="Emma Brown"/>
    <s v="Sales"/>
    <d v="2026-03-18T00:00:00"/>
    <d v="2026-03-30T00:00:00"/>
    <d v="2026-03-31T00:00:00"/>
    <x v="2"/>
    <s v="High"/>
    <b v="1"/>
    <n v="1"/>
    <n v="5"/>
  </r>
  <r>
    <s v="TASK0438"/>
    <s v="Client Presentation"/>
    <s v="Emma Brown"/>
    <s v="Sales"/>
    <d v="2025-05-12T00:00:00"/>
    <d v="2025-06-04T00:00:00"/>
    <d v="2025-06-07T00:00:00"/>
    <x v="2"/>
    <s v="Critical"/>
    <b v="1"/>
    <n v="3"/>
    <n v="3"/>
  </r>
  <r>
    <s v="TASK0439"/>
    <s v="Product Launch"/>
    <s v="Olivia Lewis"/>
    <s v="Sales"/>
    <d v="2026-02-24T00:00:00"/>
    <d v="2026-03-07T00:00:00"/>
    <d v="2026-03-05T00:00:00"/>
    <x v="2"/>
    <s v="Low"/>
    <b v="0"/>
    <n v="0"/>
    <n v="8"/>
  </r>
  <r>
    <s v="TASK0440"/>
    <s v="Stakeholder Report"/>
    <s v="Liam Jackson"/>
    <s v="HR"/>
    <d v="2025-03-18T00:00:00"/>
    <d v="2025-04-01T00:00:00"/>
    <m/>
    <x v="0"/>
    <s v="Medium"/>
    <b v="1"/>
    <n v="3"/>
    <n v="5"/>
  </r>
  <r>
    <s v="TASK0441"/>
    <s v="Code Review"/>
    <s v="Liam Jackson"/>
    <s v="HR"/>
    <d v="2025-08-10T00:00:00"/>
    <d v="2025-08-15T00:00:00"/>
    <d v="2025-08-22T00:00:00"/>
    <x v="2"/>
    <s v="Low"/>
    <b v="1"/>
    <n v="7"/>
    <n v="1"/>
  </r>
  <r>
    <s v="TASK0442"/>
    <s v="Vendor Evaluation"/>
    <s v="Olivia Lewis"/>
    <s v="Sales"/>
    <d v="2025-03-02T00:00:00"/>
    <d v="2025-03-05T00:00:00"/>
    <d v="2025-03-09T00:00:00"/>
    <x v="2"/>
    <s v="Medium"/>
    <b v="1"/>
    <n v="4"/>
    <n v="3"/>
  </r>
  <r>
    <s v="TASK0443"/>
    <s v="Stakeholder Report"/>
    <s v="Liam Jackson"/>
    <s v="HR"/>
    <d v="2025-06-06T00:00:00"/>
    <d v="2025-06-11T00:00:00"/>
    <m/>
    <x v="1"/>
    <s v="Medium"/>
    <b v="0"/>
    <n v="0"/>
    <n v="6"/>
  </r>
  <r>
    <s v="TASK0444"/>
    <s v="Vendor Evaluation"/>
    <s v="Liam Jackson"/>
    <s v="HR"/>
    <d v="2025-07-21T00:00:00"/>
    <d v="2025-08-05T00:00:00"/>
    <d v="2025-08-05T00:00:00"/>
    <x v="2"/>
    <s v="Medium"/>
    <b v="0"/>
    <n v="0"/>
    <n v="3"/>
  </r>
  <r>
    <s v="TASK0445"/>
    <s v="Team Meeting"/>
    <s v="Olivia Lewis"/>
    <s v="Sales"/>
    <d v="2025-05-02T00:00:00"/>
    <d v="2025-05-28T00:00:00"/>
    <m/>
    <x v="0"/>
    <s v="Medium"/>
    <b v="1"/>
    <n v="17"/>
    <n v="4"/>
  </r>
  <r>
    <s v="TASK0446"/>
    <s v="Budget Review"/>
    <s v="Nathan Clark"/>
    <s v="Operations"/>
    <d v="2025-07-07T00:00:00"/>
    <d v="2025-07-22T00:00:00"/>
    <d v="2025-07-22T00:00:00"/>
    <x v="2"/>
    <s v="High"/>
    <b v="0"/>
    <n v="0"/>
    <n v="5"/>
  </r>
  <r>
    <s v="TASK0447"/>
    <s v="Contract Negotiation"/>
    <s v="Frank Wilson"/>
    <s v="Finance"/>
    <d v="2025-09-12T00:00:00"/>
    <d v="2025-09-29T00:00:00"/>
    <d v="2025-10-01T00:00:00"/>
    <x v="2"/>
    <s v="High"/>
    <b v="1"/>
    <n v="2"/>
    <n v="6"/>
  </r>
  <r>
    <s v="TASK0448"/>
    <s v="Quarterly Report"/>
    <s v="Henry Davis"/>
    <s v="IT"/>
    <d v="2025-12-20T00:00:00"/>
    <d v="2026-01-05T00:00:00"/>
    <m/>
    <x v="3"/>
    <s v="High"/>
    <b v="0"/>
    <n v="0"/>
    <n v="9"/>
  </r>
  <r>
    <s v="TASK0449"/>
    <s v="Product Launch"/>
    <s v="Olivia Lewis"/>
    <s v="Sales"/>
    <d v="2025-09-09T00:00:00"/>
    <d v="2025-09-16T00:00:00"/>
    <d v="2025-09-16T00:00:00"/>
    <x v="2"/>
    <s v="Low"/>
    <b v="0"/>
    <n v="0"/>
    <n v="10"/>
  </r>
  <r>
    <s v="TASK0450"/>
    <s v="Code Review"/>
    <s v="Maria Harris"/>
    <s v="IT"/>
    <d v="2026-02-28T00:00:00"/>
    <d v="2026-03-06T00:00:00"/>
    <d v="2026-03-07T00:00:00"/>
    <x v="2"/>
    <s v="Medium"/>
    <b v="1"/>
    <n v="1"/>
    <n v="2"/>
  </r>
  <r>
    <s v="TASK0451"/>
    <s v="Training Session"/>
    <s v="Isabella Taylor"/>
    <s v="Operations"/>
    <d v="2025-03-23T00:00:00"/>
    <d v="2025-04-17T00:00:00"/>
    <d v="2025-04-15T00:00:00"/>
    <x v="2"/>
    <s v="Medium"/>
    <b v="0"/>
    <n v="0"/>
    <n v="4"/>
  </r>
  <r>
    <s v="TASK0452"/>
    <s v="Vendor Evaluation"/>
    <s v="Bob Martinez"/>
    <s v="HR"/>
    <d v="2025-06-20T00:00:00"/>
    <d v="2025-06-26T00:00:00"/>
    <d v="2025-06-27T00:00:00"/>
    <x v="2"/>
    <s v="Medium"/>
    <b v="1"/>
    <n v="1"/>
    <n v="1"/>
  </r>
  <r>
    <s v="TASK0453"/>
    <s v="Compliance Audit"/>
    <s v="Olivia Lewis"/>
    <s v="Sales"/>
    <d v="2025-02-24T00:00:00"/>
    <d v="2025-03-14T00:00:00"/>
    <d v="2025-03-15T00:00:00"/>
    <x v="2"/>
    <s v="Low"/>
    <b v="1"/>
    <n v="1"/>
    <n v="3"/>
  </r>
  <r>
    <s v="TASK0454"/>
    <s v="System Upgrade"/>
    <s v="Karen Thomas"/>
    <s v="Finance"/>
    <d v="2025-11-21T00:00:00"/>
    <d v="2025-12-20T00:00:00"/>
    <d v="2025-12-25T00:00:00"/>
    <x v="2"/>
    <s v="Medium"/>
    <b v="1"/>
    <n v="5"/>
    <n v="8"/>
  </r>
  <r>
    <s v="TASK0455"/>
    <s v="Code Review"/>
    <s v="Grace Chen"/>
    <s v="HR"/>
    <d v="2026-02-19T00:00:00"/>
    <d v="2026-02-24T00:00:00"/>
    <d v="2026-03-02T00:00:00"/>
    <x v="2"/>
    <s v="Low"/>
    <b v="1"/>
    <n v="6"/>
    <n v="8"/>
  </r>
  <r>
    <s v="TASK0456"/>
    <s v="Compliance Audit"/>
    <s v="Bob Martinez"/>
    <s v="HR"/>
    <d v="2025-05-27T00:00:00"/>
    <d v="2025-06-08T00:00:00"/>
    <m/>
    <x v="3"/>
    <s v="Low"/>
    <b v="0"/>
    <n v="0"/>
    <n v="4"/>
  </r>
  <r>
    <s v="TASK0457"/>
    <s v="Training Session"/>
    <s v="Karen Thomas"/>
    <s v="Finance"/>
    <d v="2026-02-09T00:00:00"/>
    <d v="2026-03-07T00:00:00"/>
    <d v="2026-03-07T00:00:00"/>
    <x v="2"/>
    <s v="Medium"/>
    <b v="0"/>
    <n v="0"/>
    <n v="5"/>
  </r>
  <r>
    <s v="TASK0458"/>
    <s v="System Upgrade"/>
    <s v="Henry Davis"/>
    <s v="IT"/>
    <d v="2025-10-22T00:00:00"/>
    <d v="2025-10-27T00:00:00"/>
    <d v="2025-10-28T00:00:00"/>
    <x v="2"/>
    <s v="Critical"/>
    <b v="1"/>
    <n v="1"/>
    <n v="8"/>
  </r>
  <r>
    <s v="TASK0459"/>
    <s v="Stakeholder Report"/>
    <s v="Isabella Taylor"/>
    <s v="Operations"/>
    <d v="2025-12-03T00:00:00"/>
    <d v="2025-12-16T00:00:00"/>
    <m/>
    <x v="3"/>
    <s v="Critical"/>
    <b v="0"/>
    <n v="0"/>
    <n v="7"/>
  </r>
  <r>
    <s v="TASK0460"/>
    <s v="Performance Review"/>
    <s v="Nathan Clark"/>
    <s v="Operations"/>
    <d v="2026-01-27T00:00:00"/>
    <d v="2026-02-13T00:00:00"/>
    <d v="2026-02-15T00:00:00"/>
    <x v="2"/>
    <s v="High"/>
    <b v="1"/>
    <n v="2"/>
    <n v="10"/>
  </r>
  <r>
    <s v="TASK0461"/>
    <s v="Data Migration"/>
    <s v="Emma Brown"/>
    <s v="Sales"/>
    <d v="2025-10-27T00:00:00"/>
    <d v="2025-11-09T00:00:00"/>
    <d v="2025-11-08T00:00:00"/>
    <x v="2"/>
    <s v="Critical"/>
    <b v="0"/>
    <n v="0"/>
    <n v="6"/>
  </r>
  <r>
    <s v="TASK0462"/>
    <s v="Performance Review"/>
    <s v="Carol White"/>
    <s v="IT"/>
    <d v="2025-04-21T00:00:00"/>
    <d v="2025-05-03T00:00:00"/>
    <m/>
    <x v="1"/>
    <s v="High"/>
    <b v="0"/>
    <n v="0"/>
    <n v="4"/>
  </r>
  <r>
    <s v="TASK0463"/>
    <s v="Data Migration"/>
    <s v="Karen Thomas"/>
    <s v="Finance"/>
    <d v="2025-09-22T00:00:00"/>
    <d v="2025-10-02T00:00:00"/>
    <d v="2025-10-09T00:00:00"/>
    <x v="2"/>
    <s v="Medium"/>
    <b v="1"/>
    <n v="7"/>
    <n v="6"/>
  </r>
  <r>
    <s v="TASK0464"/>
    <s v="Performance Review"/>
    <s v="Emma Brown"/>
    <s v="Sales"/>
    <d v="2025-01-27T00:00:00"/>
    <d v="2025-02-18T00:00:00"/>
    <m/>
    <x v="0"/>
    <s v="Low"/>
    <b v="1"/>
    <n v="9"/>
    <n v="6"/>
  </r>
  <r>
    <s v="TASK0465"/>
    <s v="Quarterly Report"/>
    <s v="Olivia Lewis"/>
    <s v="Sales"/>
    <d v="2025-02-11T00:00:00"/>
    <d v="2025-02-25T00:00:00"/>
    <d v="2025-02-28T00:00:00"/>
    <x v="2"/>
    <s v="Low"/>
    <b v="1"/>
    <n v="3"/>
    <n v="7"/>
  </r>
  <r>
    <s v="TASK0466"/>
    <s v="Budget Review"/>
    <s v="Alice Johnson"/>
    <s v="Finance"/>
    <d v="2025-11-22T00:00:00"/>
    <d v="2025-12-17T00:00:00"/>
    <d v="2025-12-23T00:00:00"/>
    <x v="2"/>
    <s v="Medium"/>
    <b v="1"/>
    <n v="6"/>
    <n v="2"/>
  </r>
  <r>
    <s v="TASK0467"/>
    <s v="Training Session"/>
    <s v="Isabella Taylor"/>
    <s v="Operations"/>
    <d v="2026-01-15T00:00:00"/>
    <d v="2026-02-01T00:00:00"/>
    <m/>
    <x v="0"/>
    <s v="Medium"/>
    <b v="1"/>
    <n v="17"/>
    <n v="7"/>
  </r>
  <r>
    <s v="TASK0468"/>
    <s v="Team Meeting"/>
    <s v="Alice Johnson"/>
    <s v="Finance"/>
    <d v="2026-01-23T00:00:00"/>
    <d v="2026-02-15T00:00:00"/>
    <d v="2026-02-19T00:00:00"/>
    <x v="2"/>
    <s v="Medium"/>
    <b v="1"/>
    <n v="4"/>
    <n v="1"/>
  </r>
  <r>
    <s v="TASK0469"/>
    <s v="Security Patch"/>
    <s v="Henry Davis"/>
    <s v="IT"/>
    <d v="2025-11-13T00:00:00"/>
    <d v="2025-11-24T00:00:00"/>
    <d v="2025-11-24T00:00:00"/>
    <x v="2"/>
    <s v="High"/>
    <b v="0"/>
    <n v="0"/>
    <n v="5"/>
  </r>
  <r>
    <s v="TASK0470"/>
    <s v="Budget Review"/>
    <s v="Karen Thomas"/>
    <s v="Finance"/>
    <d v="2025-03-31T00:00:00"/>
    <d v="2025-04-10T00:00:00"/>
    <m/>
    <x v="0"/>
    <s v="Low"/>
    <b v="1"/>
    <n v="6"/>
    <n v="1"/>
  </r>
  <r>
    <s v="TASK0471"/>
    <s v="Client Presentation"/>
    <s v="Carol White"/>
    <s v="IT"/>
    <d v="2025-05-19T00:00:00"/>
    <d v="2025-06-07T00:00:00"/>
    <m/>
    <x v="1"/>
    <s v="Medium"/>
    <b v="0"/>
    <n v="0"/>
    <n v="10"/>
  </r>
  <r>
    <s v="TASK0472"/>
    <s v="Quarterly Report"/>
    <s v="Emma Brown"/>
    <s v="Sales"/>
    <d v="2026-02-09T00:00:00"/>
    <d v="2026-02-12T00:00:00"/>
    <m/>
    <x v="1"/>
    <s v="Critical"/>
    <b v="0"/>
    <n v="0"/>
    <n v="7"/>
  </r>
  <r>
    <s v="TASK0473"/>
    <s v="Client Presentation"/>
    <s v="Olivia Lewis"/>
    <s v="Sales"/>
    <d v="2025-08-01T00:00:00"/>
    <d v="2025-08-10T00:00:00"/>
    <m/>
    <x v="0"/>
    <s v="Low"/>
    <b v="1"/>
    <n v="10"/>
    <n v="8"/>
  </r>
  <r>
    <s v="TASK0474"/>
    <s v="Training Session"/>
    <s v="Nathan Clark"/>
    <s v="Operations"/>
    <d v="2025-07-14T00:00:00"/>
    <d v="2025-07-24T00:00:00"/>
    <d v="2025-07-27T00:00:00"/>
    <x v="2"/>
    <s v="High"/>
    <b v="1"/>
    <n v="3"/>
    <n v="5"/>
  </r>
  <r>
    <s v="TASK0475"/>
    <s v="Performance Review"/>
    <s v="James Anderson"/>
    <s v="Sales"/>
    <d v="2025-06-23T00:00:00"/>
    <d v="2025-06-26T00:00:00"/>
    <d v="2025-06-25T00:00:00"/>
    <x v="2"/>
    <s v="Low"/>
    <b v="0"/>
    <n v="0"/>
    <n v="9"/>
  </r>
  <r>
    <s v="TASK0476"/>
    <s v="System Upgrade"/>
    <s v="Liam Jackson"/>
    <s v="HR"/>
    <d v="2025-12-10T00:00:00"/>
    <d v="2026-01-04T00:00:00"/>
    <d v="2026-01-06T00:00:00"/>
    <x v="2"/>
    <s v="High"/>
    <b v="1"/>
    <n v="2"/>
    <n v="4"/>
  </r>
  <r>
    <s v="TASK0477"/>
    <s v="Quarterly Report"/>
    <s v="James Anderson"/>
    <s v="Sales"/>
    <d v="2025-07-01T00:00:00"/>
    <d v="2025-07-24T00:00:00"/>
    <d v="2025-07-22T00:00:00"/>
    <x v="2"/>
    <s v="Critical"/>
    <b v="0"/>
    <n v="0"/>
    <n v="10"/>
  </r>
  <r>
    <s v="TASK0478"/>
    <s v="System Upgrade"/>
    <s v="Emma Brown"/>
    <s v="Sales"/>
    <d v="2025-03-31T00:00:00"/>
    <d v="2025-04-06T00:00:00"/>
    <d v="2025-04-09T00:00:00"/>
    <x v="2"/>
    <s v="Low"/>
    <b v="1"/>
    <n v="3"/>
    <n v="3"/>
  </r>
  <r>
    <s v="TASK0479"/>
    <s v="Compliance Audit"/>
    <s v="Grace Chen"/>
    <s v="HR"/>
    <d v="2026-01-08T00:00:00"/>
    <d v="2026-01-19T00:00:00"/>
    <d v="2026-01-18T00:00:00"/>
    <x v="2"/>
    <s v="Medium"/>
    <b v="0"/>
    <n v="0"/>
    <n v="5"/>
  </r>
  <r>
    <s v="TASK0480"/>
    <s v="Policy Update"/>
    <s v="Liam Jackson"/>
    <s v="HR"/>
    <d v="2025-06-16T00:00:00"/>
    <d v="2025-07-04T00:00:00"/>
    <m/>
    <x v="0"/>
    <s v="Medium"/>
    <b v="1"/>
    <n v="11"/>
    <n v="5"/>
  </r>
  <r>
    <s v="TASK0481"/>
    <s v="Product Launch"/>
    <s v="James Anderson"/>
    <s v="Sales"/>
    <d v="2025-11-24T00:00:00"/>
    <d v="2025-12-22T00:00:00"/>
    <d v="2025-12-22T00:00:00"/>
    <x v="2"/>
    <s v="High"/>
    <b v="0"/>
    <n v="0"/>
    <n v="1"/>
  </r>
  <r>
    <s v="TASK0482"/>
    <s v="Security Patch"/>
    <s v="Alice Johnson"/>
    <s v="Finance"/>
    <d v="2026-01-11T00:00:00"/>
    <d v="2026-01-16T00:00:00"/>
    <m/>
    <x v="0"/>
    <s v="Critical"/>
    <b v="1"/>
    <n v="2"/>
    <n v="8"/>
  </r>
  <r>
    <s v="TASK0483"/>
    <s v="Security Patch"/>
    <s v="Emma Brown"/>
    <s v="Sales"/>
    <d v="2025-04-16T00:00:00"/>
    <d v="2025-05-01T00:00:00"/>
    <m/>
    <x v="0"/>
    <s v="Critical"/>
    <b v="1"/>
    <n v="11"/>
    <n v="1"/>
  </r>
  <r>
    <s v="TASK0484"/>
    <s v="Quarterly Report"/>
    <s v="Liam Jackson"/>
    <s v="HR"/>
    <d v="2025-08-14T00:00:00"/>
    <d v="2025-09-10T00:00:00"/>
    <d v="2025-09-17T00:00:00"/>
    <x v="2"/>
    <s v="Medium"/>
    <b v="1"/>
    <n v="7"/>
    <n v="5"/>
  </r>
  <r>
    <s v="TASK0485"/>
    <s v="Data Migration"/>
    <s v="Grace Chen"/>
    <s v="HR"/>
    <d v="2025-08-03T00:00:00"/>
    <d v="2025-08-08T00:00:00"/>
    <d v="2025-08-14T00:00:00"/>
    <x v="2"/>
    <s v="Low"/>
    <b v="1"/>
    <n v="6"/>
    <n v="2"/>
  </r>
  <r>
    <s v="TASK0486"/>
    <s v="Policy Update"/>
    <s v="Bob Martinez"/>
    <s v="HR"/>
    <d v="2025-07-08T00:00:00"/>
    <d v="2025-07-12T00:00:00"/>
    <d v="2025-07-13T00:00:00"/>
    <x v="2"/>
    <s v="Medium"/>
    <b v="1"/>
    <n v="1"/>
    <n v="7"/>
  </r>
  <r>
    <s v="TASK0487"/>
    <s v="Vendor Evaluation"/>
    <s v="Frank Wilson"/>
    <s v="Finance"/>
    <d v="2025-05-18T00:00:00"/>
    <d v="2025-06-10T00:00:00"/>
    <d v="2025-06-10T00:00:00"/>
    <x v="2"/>
    <s v="Medium"/>
    <b v="0"/>
    <n v="0"/>
    <n v="6"/>
  </r>
  <r>
    <s v="TASK0488"/>
    <s v="Client Presentation"/>
    <s v="Maria Harris"/>
    <s v="IT"/>
    <d v="2025-09-28T00:00:00"/>
    <d v="2025-10-16T00:00:00"/>
    <m/>
    <x v="0"/>
    <s v="High"/>
    <b v="1"/>
    <n v="3"/>
    <n v="4"/>
  </r>
  <r>
    <s v="TASK0489"/>
    <s v="Process Improvement"/>
    <s v="Grace Chen"/>
    <s v="HR"/>
    <d v="2025-03-09T00:00:00"/>
    <d v="2025-03-27T00:00:00"/>
    <d v="2025-03-25T00:00:00"/>
    <x v="2"/>
    <s v="Low"/>
    <b v="0"/>
    <n v="0"/>
    <n v="7"/>
  </r>
  <r>
    <s v="TASK0490"/>
    <s v="Data Migration"/>
    <s v="Bob Martinez"/>
    <s v="HR"/>
    <d v="2025-01-21T00:00:00"/>
    <d v="2025-02-02T00:00:00"/>
    <m/>
    <x v="3"/>
    <s v="Medium"/>
    <b v="0"/>
    <n v="0"/>
    <n v="1"/>
  </r>
  <r>
    <s v="TASK0491"/>
    <s v="Dashboard Setup"/>
    <s v="Liam Jackson"/>
    <s v="HR"/>
    <d v="2026-01-15T00:00:00"/>
    <d v="2026-01-27T00:00:00"/>
    <m/>
    <x v="1"/>
    <s v="Critical"/>
    <b v="0"/>
    <n v="0"/>
    <n v="4"/>
  </r>
  <r>
    <s v="TASK0492"/>
    <s v="Market Analysis"/>
    <s v="Isabella Taylor"/>
    <s v="Operations"/>
    <d v="2025-04-26T00:00:00"/>
    <d v="2025-05-09T00:00:00"/>
    <m/>
    <x v="3"/>
    <s v="Medium"/>
    <b v="0"/>
    <n v="0"/>
    <n v="1"/>
  </r>
  <r>
    <s v="TASK0493"/>
    <s v="Training Session"/>
    <s v="Carol White"/>
    <s v="IT"/>
    <d v="2025-04-10T00:00:00"/>
    <d v="2025-05-04T00:00:00"/>
    <m/>
    <x v="1"/>
    <s v="High"/>
    <b v="0"/>
    <n v="0"/>
    <n v="7"/>
  </r>
  <r>
    <s v="TASK0494"/>
    <s v="Client Presentation"/>
    <s v="Karen Thomas"/>
    <s v="Finance"/>
    <d v="2025-04-22T00:00:00"/>
    <d v="2025-05-09T00:00:00"/>
    <m/>
    <x v="0"/>
    <s v="Low"/>
    <b v="1"/>
    <n v="11"/>
    <n v="8"/>
  </r>
  <r>
    <s v="TASK0495"/>
    <s v="Product Launch"/>
    <s v="Liam Jackson"/>
    <s v="HR"/>
    <d v="2025-11-03T00:00:00"/>
    <d v="2025-11-30T00:00:00"/>
    <m/>
    <x v="3"/>
    <s v="High"/>
    <b v="0"/>
    <n v="0"/>
    <n v="3"/>
  </r>
  <r>
    <s v="TASK0496"/>
    <s v="Risk Assessment"/>
    <s v="Olivia Lewis"/>
    <s v="Sales"/>
    <d v="2025-06-06T00:00:00"/>
    <d v="2025-06-11T00:00:00"/>
    <d v="2025-06-12T00:00:00"/>
    <x v="2"/>
    <s v="Medium"/>
    <b v="1"/>
    <n v="1"/>
    <n v="10"/>
  </r>
  <r>
    <s v="TASK0497"/>
    <s v="Code Review"/>
    <s v="David Lee"/>
    <s v="Operations"/>
    <d v="2025-12-10T00:00:00"/>
    <d v="2025-12-16T00:00:00"/>
    <d v="2025-12-14T00:00:00"/>
    <x v="2"/>
    <s v="Medium"/>
    <b v="0"/>
    <n v="0"/>
    <n v="9"/>
  </r>
  <r>
    <s v="TASK0498"/>
    <s v="Code Review"/>
    <s v="Carol White"/>
    <s v="IT"/>
    <d v="2026-02-22T00:00:00"/>
    <d v="2026-03-16T00:00:00"/>
    <d v="2026-03-15T00:00:00"/>
    <x v="2"/>
    <s v="Medium"/>
    <b v="0"/>
    <n v="0"/>
    <n v="2"/>
  </r>
  <r>
    <s v="TASK0499"/>
    <s v="Dashboard Setup"/>
    <s v="Bob Martinez"/>
    <s v="HR"/>
    <d v="2025-01-27T00:00:00"/>
    <d v="2025-02-21T00:00:00"/>
    <m/>
    <x v="1"/>
    <s v="Medium"/>
    <b v="0"/>
    <n v="0"/>
    <n v="3"/>
  </r>
  <r>
    <s v="TASK0500"/>
    <s v="Code Review"/>
    <s v="Nathan Clark"/>
    <s v="Operations"/>
    <d v="2025-11-10T00:00:00"/>
    <d v="2025-11-18T00:00:00"/>
    <d v="2025-11-25T00:00:00"/>
    <x v="2"/>
    <s v="Medium"/>
    <b v="1"/>
    <n v="7"/>
    <n v="8"/>
  </r>
  <r>
    <s v="TASK0501"/>
    <s v="Vendor Evaluation"/>
    <s v="Alice Johnson"/>
    <s v="Finance"/>
    <d v="2025-12-07T00:00:00"/>
    <d v="2025-12-20T00:00:00"/>
    <d v="2025-12-27T00:00:00"/>
    <x v="2"/>
    <s v="Medium"/>
    <b v="1"/>
    <n v="7"/>
    <n v="6"/>
  </r>
  <r>
    <s v="TASK0502"/>
    <s v="Compliance Audit"/>
    <s v="Henry Davis"/>
    <s v="IT"/>
    <d v="2025-08-05T00:00:00"/>
    <d v="2025-08-30T00:00:00"/>
    <d v="2025-09-02T00:00:00"/>
    <x v="2"/>
    <s v="High"/>
    <b v="1"/>
    <n v="3"/>
    <n v="2"/>
  </r>
  <r>
    <s v="TASK0503"/>
    <s v="Dashboard Setup"/>
    <s v="Alice Johnson"/>
    <s v="Finance"/>
    <d v="2025-09-21T00:00:00"/>
    <d v="2025-10-03T00:00:00"/>
    <m/>
    <x v="1"/>
    <s v="Medium"/>
    <b v="0"/>
    <n v="0"/>
    <n v="1"/>
  </r>
  <r>
    <s v="TASK0504"/>
    <s v="Dashboard Setup"/>
    <s v="James Anderson"/>
    <s v="Sales"/>
    <d v="2025-12-26T00:00:00"/>
    <d v="2026-01-14T00:00:00"/>
    <m/>
    <x v="1"/>
    <s v="Medium"/>
    <b v="0"/>
    <n v="0"/>
    <n v="3"/>
  </r>
  <r>
    <s v="TASK0505"/>
    <s v="System Upgrade"/>
    <s v="Olivia Lewis"/>
    <s v="Sales"/>
    <d v="2025-05-03T00:00:00"/>
    <d v="2025-05-28T00:00:00"/>
    <d v="2025-05-31T00:00:00"/>
    <x v="2"/>
    <s v="Medium"/>
    <b v="1"/>
    <n v="3"/>
    <n v="6"/>
  </r>
  <r>
    <s v="TASK0506"/>
    <s v="Performance Review"/>
    <s v="Olivia Lewis"/>
    <s v="Sales"/>
    <d v="2025-09-24T00:00:00"/>
    <d v="2025-10-01T00:00:00"/>
    <d v="2025-10-01T00:00:00"/>
    <x v="2"/>
    <s v="Medium"/>
    <b v="0"/>
    <n v="0"/>
    <n v="9"/>
  </r>
  <r>
    <s v="TASK0507"/>
    <s v="Market Analysis"/>
    <s v="Alice Johnson"/>
    <s v="Finance"/>
    <d v="2025-09-24T00:00:00"/>
    <d v="2025-10-04T00:00:00"/>
    <m/>
    <x v="1"/>
    <s v="Low"/>
    <b v="0"/>
    <n v="0"/>
    <n v="8"/>
  </r>
  <r>
    <s v="TASK0508"/>
    <s v="Security Patch"/>
    <s v="Frank Wilson"/>
    <s v="Finance"/>
    <d v="2025-06-16T00:00:00"/>
    <d v="2025-07-03T00:00:00"/>
    <m/>
    <x v="0"/>
    <s v="Medium"/>
    <b v="1"/>
    <n v="6"/>
    <n v="1"/>
  </r>
  <r>
    <s v="TASK0509"/>
    <s v="Team Meeting"/>
    <s v="Frank Wilson"/>
    <s v="Finance"/>
    <d v="2025-03-14T00:00:00"/>
    <d v="2025-03-27T00:00:00"/>
    <d v="2025-04-03T00:00:00"/>
    <x v="2"/>
    <s v="Critical"/>
    <b v="1"/>
    <n v="7"/>
    <n v="4"/>
  </r>
  <r>
    <s v="TASK0510"/>
    <s v="System Upgrade"/>
    <s v="Olivia Lewis"/>
    <s v="Sales"/>
    <d v="2025-04-12T00:00:00"/>
    <d v="2025-04-24T00:00:00"/>
    <d v="2025-04-22T00:00:00"/>
    <x v="2"/>
    <s v="Medium"/>
    <b v="0"/>
    <n v="0"/>
    <n v="10"/>
  </r>
  <r>
    <s v="TASK0511"/>
    <s v="Policy Update"/>
    <s v="Maria Harris"/>
    <s v="IT"/>
    <d v="2025-09-16T00:00:00"/>
    <d v="2025-09-21T00:00:00"/>
    <m/>
    <x v="0"/>
    <s v="High"/>
    <b v="1"/>
    <n v="18"/>
    <n v="9"/>
  </r>
  <r>
    <s v="TASK0512"/>
    <s v="Budget Review"/>
    <s v="James Anderson"/>
    <s v="Sales"/>
    <d v="2026-03-11T00:00:00"/>
    <d v="2026-04-07T00:00:00"/>
    <d v="2026-04-14T00:00:00"/>
    <x v="2"/>
    <s v="Low"/>
    <b v="1"/>
    <n v="7"/>
    <n v="2"/>
  </r>
  <r>
    <s v="TASK0513"/>
    <s v="Client Presentation"/>
    <s v="Nathan Clark"/>
    <s v="Operations"/>
    <d v="2025-12-03T00:00:00"/>
    <d v="2025-12-28T00:00:00"/>
    <m/>
    <x v="1"/>
    <s v="Medium"/>
    <b v="0"/>
    <n v="0"/>
    <n v="7"/>
  </r>
  <r>
    <s v="TASK0514"/>
    <s v="Dashboard Setup"/>
    <s v="Karen Thomas"/>
    <s v="Finance"/>
    <d v="2026-03-04T00:00:00"/>
    <d v="2026-03-20T00:00:00"/>
    <m/>
    <x v="1"/>
    <s v="Critical"/>
    <b v="0"/>
    <n v="0"/>
    <n v="5"/>
  </r>
  <r>
    <s v="TASK0515"/>
    <s v="Code Review"/>
    <s v="Maria Harris"/>
    <s v="IT"/>
    <d v="2025-10-24T00:00:00"/>
    <d v="2025-11-21T00:00:00"/>
    <d v="2025-11-19T00:00:00"/>
    <x v="2"/>
    <s v="High"/>
    <b v="0"/>
    <n v="0"/>
    <n v="6"/>
  </r>
  <r>
    <s v="TASK0516"/>
    <s v="Process Improvement"/>
    <s v="Henry Davis"/>
    <s v="IT"/>
    <d v="2026-01-28T00:00:00"/>
    <d v="2026-02-03T00:00:00"/>
    <d v="2026-02-03T00:00:00"/>
    <x v="2"/>
    <s v="Medium"/>
    <b v="0"/>
    <n v="0"/>
    <n v="7"/>
  </r>
  <r>
    <s v="TASK0517"/>
    <s v="System Upgrade"/>
    <s v="Bob Martinez"/>
    <s v="HR"/>
    <d v="2025-01-10T00:00:00"/>
    <d v="2025-01-19T00:00:00"/>
    <m/>
    <x v="0"/>
    <s v="High"/>
    <b v="1"/>
    <n v="18"/>
    <n v="4"/>
  </r>
  <r>
    <s v="TASK0518"/>
    <s v="Training Session"/>
    <s v="Isabella Taylor"/>
    <s v="Operations"/>
    <d v="2025-12-30T00:00:00"/>
    <d v="2026-01-11T00:00:00"/>
    <d v="2026-01-16T00:00:00"/>
    <x v="2"/>
    <s v="High"/>
    <b v="1"/>
    <n v="5"/>
    <n v="4"/>
  </r>
  <r>
    <s v="TASK0519"/>
    <s v="Code Review"/>
    <s v="James Anderson"/>
    <s v="Sales"/>
    <d v="2025-01-23T00:00:00"/>
    <d v="2025-02-19T00:00:00"/>
    <d v="2025-02-26T00:00:00"/>
    <x v="2"/>
    <s v="Low"/>
    <b v="1"/>
    <n v="7"/>
    <n v="10"/>
  </r>
  <r>
    <s v="TASK0520"/>
    <s v="Contract Negotiation"/>
    <s v="Maria Harris"/>
    <s v="IT"/>
    <d v="2025-08-20T00:00:00"/>
    <d v="2025-09-10T00:00:00"/>
    <m/>
    <x v="1"/>
    <s v="Medium"/>
    <b v="0"/>
    <n v="0"/>
    <n v="7"/>
  </r>
  <r>
    <s v="TASK0521"/>
    <s v="Team Meeting"/>
    <s v="Henry Davis"/>
    <s v="IT"/>
    <d v="2025-12-18T00:00:00"/>
    <d v="2025-12-24T00:00:00"/>
    <m/>
    <x v="1"/>
    <s v="Low"/>
    <b v="0"/>
    <n v="0"/>
    <n v="1"/>
  </r>
  <r>
    <s v="TASK0522"/>
    <s v="Product Launch"/>
    <s v="Frank Wilson"/>
    <s v="Finance"/>
    <d v="2025-01-01T00:00:00"/>
    <d v="2025-01-15T00:00:00"/>
    <d v="2025-01-18T00:00:00"/>
    <x v="2"/>
    <s v="Critical"/>
    <b v="1"/>
    <n v="3"/>
    <n v="4"/>
  </r>
  <r>
    <s v="TASK0523"/>
    <s v="Performance Review"/>
    <s v="Frank Wilson"/>
    <s v="Finance"/>
    <d v="2025-01-21T00:00:00"/>
    <d v="2025-02-19T00:00:00"/>
    <d v="2025-02-21T00:00:00"/>
    <x v="2"/>
    <s v="High"/>
    <b v="1"/>
    <n v="2"/>
    <n v="9"/>
  </r>
  <r>
    <s v="TASK0524"/>
    <s v="Product Launch"/>
    <s v="Carol White"/>
    <s v="IT"/>
    <d v="2025-04-20T00:00:00"/>
    <d v="2025-05-06T00:00:00"/>
    <d v="2025-05-05T00:00:00"/>
    <x v="2"/>
    <s v="High"/>
    <b v="0"/>
    <n v="0"/>
    <n v="6"/>
  </r>
  <r>
    <s v="TASK0525"/>
    <s v="Vendor Evaluation"/>
    <s v="James Anderson"/>
    <s v="Sales"/>
    <d v="2026-03-23T00:00:00"/>
    <d v="2026-03-26T00:00:00"/>
    <d v="2026-03-26T00:00:00"/>
    <x v="2"/>
    <s v="Low"/>
    <b v="0"/>
    <n v="0"/>
    <n v="6"/>
  </r>
  <r>
    <s v="TASK0526"/>
    <s v="Contract Negotiation"/>
    <s v="David Lee"/>
    <s v="Operations"/>
    <d v="2025-10-04T00:00:00"/>
    <d v="2025-10-25T00:00:00"/>
    <d v="2025-10-24T00:00:00"/>
    <x v="2"/>
    <s v="Medium"/>
    <b v="0"/>
    <n v="0"/>
    <n v="9"/>
  </r>
  <r>
    <s v="TASK0527"/>
    <s v="Performance Review"/>
    <s v="Liam Jackson"/>
    <s v="HR"/>
    <d v="2025-08-03T00:00:00"/>
    <d v="2025-08-07T00:00:00"/>
    <m/>
    <x v="1"/>
    <s v="Medium"/>
    <b v="0"/>
    <n v="0"/>
    <n v="4"/>
  </r>
  <r>
    <s v="TASK0528"/>
    <s v="Performance Review"/>
    <s v="Karen Thomas"/>
    <s v="Finance"/>
    <d v="2025-01-08T00:00:00"/>
    <d v="2025-01-28T00:00:00"/>
    <m/>
    <x v="3"/>
    <s v="Medium"/>
    <b v="0"/>
    <n v="0"/>
    <n v="1"/>
  </r>
  <r>
    <s v="TASK0529"/>
    <s v="Product Launch"/>
    <s v="Isabella Taylor"/>
    <s v="Operations"/>
    <d v="2025-03-13T00:00:00"/>
    <d v="2025-04-01T00:00:00"/>
    <m/>
    <x v="0"/>
    <s v="Medium"/>
    <b v="1"/>
    <n v="5"/>
    <n v="4"/>
  </r>
  <r>
    <s v="TASK0530"/>
    <s v="Code Review"/>
    <s v="Karen Thomas"/>
    <s v="Finance"/>
    <d v="2025-06-21T00:00:00"/>
    <d v="2025-06-24T00:00:00"/>
    <d v="2025-06-24T00:00:00"/>
    <x v="2"/>
    <s v="Low"/>
    <b v="0"/>
    <n v="0"/>
    <n v="2"/>
  </r>
  <r>
    <s v="TASK0531"/>
    <s v="Quarterly Report"/>
    <s v="Maria Harris"/>
    <s v="IT"/>
    <d v="2025-09-28T00:00:00"/>
    <d v="2025-10-13T00:00:00"/>
    <d v="2025-10-19T00:00:00"/>
    <x v="2"/>
    <s v="Critical"/>
    <b v="1"/>
    <n v="6"/>
    <n v="4"/>
  </r>
  <r>
    <s v="TASK0532"/>
    <s v="Process Improvement"/>
    <s v="Frank Wilson"/>
    <s v="Finance"/>
    <d v="2026-01-20T00:00:00"/>
    <d v="2026-02-12T00:00:00"/>
    <d v="2026-02-16T00:00:00"/>
    <x v="2"/>
    <s v="High"/>
    <b v="1"/>
    <n v="4"/>
    <n v="1"/>
  </r>
  <r>
    <s v="TASK0533"/>
    <s v="Data Migration"/>
    <s v="Nathan Clark"/>
    <s v="Operations"/>
    <d v="2025-11-26T00:00:00"/>
    <d v="2025-12-23T00:00:00"/>
    <d v="2025-12-25T00:00:00"/>
    <x v="2"/>
    <s v="Medium"/>
    <b v="1"/>
    <n v="2"/>
    <n v="9"/>
  </r>
  <r>
    <s v="TASK0534"/>
    <s v="Market Analysis"/>
    <s v="Bob Martinez"/>
    <s v="HR"/>
    <d v="2025-07-16T00:00:00"/>
    <d v="2025-07-30T00:00:00"/>
    <m/>
    <x v="3"/>
    <s v="Medium"/>
    <b v="0"/>
    <n v="0"/>
    <n v="6"/>
  </r>
  <r>
    <s v="TASK0535"/>
    <s v="Risk Assessment"/>
    <s v="Maria Harris"/>
    <s v="IT"/>
    <d v="2025-01-15T00:00:00"/>
    <d v="2025-01-20T00:00:00"/>
    <m/>
    <x v="0"/>
    <s v="Medium"/>
    <b v="1"/>
    <n v="3"/>
    <n v="7"/>
  </r>
  <r>
    <s v="TASK0536"/>
    <s v="Budget Review"/>
    <s v="Grace Chen"/>
    <s v="HR"/>
    <d v="2025-06-08T00:00:00"/>
    <d v="2025-06-19T00:00:00"/>
    <m/>
    <x v="1"/>
    <s v="High"/>
    <b v="0"/>
    <n v="0"/>
    <n v="7"/>
  </r>
  <r>
    <s v="TASK0537"/>
    <s v="Dashboard Setup"/>
    <s v="Nathan Clark"/>
    <s v="Operations"/>
    <d v="2025-02-08T00:00:00"/>
    <d v="2025-02-18T00:00:00"/>
    <d v="2025-02-17T00:00:00"/>
    <x v="2"/>
    <s v="Low"/>
    <b v="0"/>
    <n v="0"/>
    <n v="4"/>
  </r>
  <r>
    <s v="TASK0538"/>
    <s v="Policy Update"/>
    <s v="Henry Davis"/>
    <s v="IT"/>
    <d v="2026-02-16T00:00:00"/>
    <d v="2026-03-15T00:00:00"/>
    <m/>
    <x v="0"/>
    <s v="High"/>
    <b v="1"/>
    <n v="7"/>
    <n v="6"/>
  </r>
  <r>
    <s v="TASK0539"/>
    <s v="Code Review"/>
    <s v="Nathan Clark"/>
    <s v="Operations"/>
    <d v="2026-02-10T00:00:00"/>
    <d v="2026-02-28T00:00:00"/>
    <d v="2026-02-27T00:00:00"/>
    <x v="2"/>
    <s v="Low"/>
    <b v="0"/>
    <n v="0"/>
    <n v="6"/>
  </r>
  <r>
    <s v="TASK0540"/>
    <s v="Data Migration"/>
    <s v="Grace Chen"/>
    <s v="HR"/>
    <d v="2025-10-29T00:00:00"/>
    <d v="2025-11-07T00:00:00"/>
    <d v="2025-11-14T00:00:00"/>
    <x v="2"/>
    <s v="Medium"/>
    <b v="1"/>
    <n v="7"/>
    <n v="1"/>
  </r>
  <r>
    <s v="TASK0541"/>
    <s v="Contract Negotiation"/>
    <s v="Bob Martinez"/>
    <s v="HR"/>
    <d v="2025-11-11T00:00:00"/>
    <d v="2025-11-28T00:00:00"/>
    <m/>
    <x v="0"/>
    <s v="Medium"/>
    <b v="1"/>
    <n v="4"/>
    <n v="6"/>
  </r>
  <r>
    <s v="TASK0542"/>
    <s v="Policy Update"/>
    <s v="Grace Chen"/>
    <s v="HR"/>
    <d v="2025-06-19T00:00:00"/>
    <d v="2025-06-27T00:00:00"/>
    <d v="2025-07-02T00:00:00"/>
    <x v="2"/>
    <s v="Medium"/>
    <b v="1"/>
    <n v="5"/>
    <n v="3"/>
  </r>
  <r>
    <s v="TASK0543"/>
    <s v="Stakeholder Report"/>
    <s v="Karen Thomas"/>
    <s v="Finance"/>
    <d v="2025-04-30T00:00:00"/>
    <d v="2025-05-10T00:00:00"/>
    <m/>
    <x v="1"/>
    <s v="Medium"/>
    <b v="0"/>
    <n v="0"/>
    <n v="3"/>
  </r>
  <r>
    <s v="TASK0544"/>
    <s v="Quarterly Report"/>
    <s v="Maria Harris"/>
    <s v="IT"/>
    <d v="2025-10-27T00:00:00"/>
    <d v="2025-11-03T00:00:00"/>
    <m/>
    <x v="0"/>
    <s v="Medium"/>
    <b v="1"/>
    <n v="17"/>
    <n v="9"/>
  </r>
  <r>
    <s v="TASK0545"/>
    <s v="Performance Review"/>
    <s v="Bob Martinez"/>
    <s v="HR"/>
    <d v="2025-12-02T00:00:00"/>
    <d v="2025-12-06T00:00:00"/>
    <m/>
    <x v="0"/>
    <s v="Medium"/>
    <b v="1"/>
    <n v="9"/>
    <n v="10"/>
  </r>
  <r>
    <s v="TASK0546"/>
    <s v="Product Launch"/>
    <s v="Nathan Clark"/>
    <s v="Operations"/>
    <d v="2025-02-17T00:00:00"/>
    <d v="2025-03-12T00:00:00"/>
    <m/>
    <x v="1"/>
    <s v="High"/>
    <b v="0"/>
    <n v="0"/>
    <n v="10"/>
  </r>
  <r>
    <s v="TASK0547"/>
    <s v="Performance Review"/>
    <s v="David Lee"/>
    <s v="Operations"/>
    <d v="2025-09-12T00:00:00"/>
    <d v="2025-09-21T00:00:00"/>
    <d v="2025-09-20T00:00:00"/>
    <x v="2"/>
    <s v="Low"/>
    <b v="0"/>
    <n v="0"/>
    <n v="10"/>
  </r>
  <r>
    <s v="TASK0548"/>
    <s v="Budget Review"/>
    <s v="Henry Davis"/>
    <s v="IT"/>
    <d v="2025-11-29T00:00:00"/>
    <d v="2025-12-17T00:00:00"/>
    <m/>
    <x v="0"/>
    <s v="Low"/>
    <b v="1"/>
    <n v="8"/>
    <n v="7"/>
  </r>
  <r>
    <s v="TASK0549"/>
    <s v="Performance Review"/>
    <s v="Henry Davis"/>
    <s v="IT"/>
    <d v="2025-08-13T00:00:00"/>
    <d v="2025-08-28T00:00:00"/>
    <d v="2025-08-29T00:00:00"/>
    <x v="2"/>
    <s v="Medium"/>
    <b v="1"/>
    <n v="1"/>
    <n v="3"/>
  </r>
  <r>
    <s v="TASK0550"/>
    <s v="Policy Update"/>
    <s v="Isabella Taylor"/>
    <s v="Operations"/>
    <d v="2025-11-09T00:00:00"/>
    <d v="2025-12-02T00:00:00"/>
    <d v="2025-11-30T00:00:00"/>
    <x v="2"/>
    <s v="Medium"/>
    <b v="0"/>
    <n v="0"/>
    <n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TASK0001"/>
    <s v="Budget Review"/>
    <s v="Bob Martinez"/>
    <s v="HR"/>
    <d v="2025-11-10T00:00:00"/>
    <d v="2025-11-18T00:00:00"/>
    <m/>
    <s v="Overdue"/>
    <x v="0"/>
    <b v="1"/>
    <n v="2"/>
    <n v="8"/>
  </r>
  <r>
    <s v="TASK0002"/>
    <s v="Product Launch"/>
    <s v="Henry Davis"/>
    <s v="IT"/>
    <d v="2025-02-27T00:00:00"/>
    <d v="2025-03-24T00:00:00"/>
    <m/>
    <s v="Overdue"/>
    <x v="0"/>
    <b v="1"/>
    <n v="9"/>
    <n v="10"/>
  </r>
  <r>
    <s v="TASK0003"/>
    <s v="Process Improvement"/>
    <s v="Henry Davis"/>
    <s v="IT"/>
    <d v="2026-01-06T00:00:00"/>
    <d v="2026-01-23T00:00:00"/>
    <m/>
    <s v="In Progress"/>
    <x v="1"/>
    <b v="0"/>
    <n v="0"/>
    <n v="4"/>
  </r>
  <r>
    <s v="TASK0004"/>
    <s v="Budget Review"/>
    <s v="Grace Chen"/>
    <s v="HR"/>
    <d v="2026-01-22T00:00:00"/>
    <d v="2026-02-16T00:00:00"/>
    <m/>
    <s v="In Progress"/>
    <x v="2"/>
    <b v="0"/>
    <n v="0"/>
    <n v="9"/>
  </r>
  <r>
    <s v="TASK0005"/>
    <s v="Budget Review"/>
    <s v="Emma Brown"/>
    <s v="Sales"/>
    <d v="2026-03-13T00:00:00"/>
    <d v="2026-03-28T00:00:00"/>
    <d v="2026-04-03T00:00:00"/>
    <s v="Completed"/>
    <x v="0"/>
    <b v="1"/>
    <n v="6"/>
    <n v="7"/>
  </r>
  <r>
    <s v="TASK0006"/>
    <s v="Risk Assessment"/>
    <s v="Karen Thomas"/>
    <s v="Finance"/>
    <d v="2025-01-20T00:00:00"/>
    <d v="2025-02-06T00:00:00"/>
    <d v="2025-02-05T00:00:00"/>
    <s v="Completed"/>
    <x v="2"/>
    <b v="0"/>
    <n v="0"/>
    <n v="8"/>
  </r>
  <r>
    <s v="TASK0007"/>
    <s v="Process Improvement"/>
    <s v="Liam Jackson"/>
    <s v="HR"/>
    <d v="2025-05-27T00:00:00"/>
    <d v="2025-06-23T00:00:00"/>
    <m/>
    <s v="Cancelled"/>
    <x v="0"/>
    <b v="0"/>
    <n v="0"/>
    <n v="7"/>
  </r>
  <r>
    <s v="TASK0008"/>
    <s v="System Upgrade"/>
    <s v="Frank Wilson"/>
    <s v="Finance"/>
    <d v="2025-11-05T00:00:00"/>
    <d v="2025-11-20T00:00:00"/>
    <d v="2025-11-21T00:00:00"/>
    <s v="Completed"/>
    <x v="0"/>
    <b v="1"/>
    <n v="1"/>
    <n v="5"/>
  </r>
  <r>
    <s v="TASK0009"/>
    <s v="Policy Update"/>
    <s v="David Lee"/>
    <s v="Operations"/>
    <d v="2025-10-11T00:00:00"/>
    <d v="2025-11-01T00:00:00"/>
    <d v="2025-10-30T00:00:00"/>
    <s v="Completed"/>
    <x v="0"/>
    <b v="0"/>
    <n v="0"/>
    <n v="2"/>
  </r>
  <r>
    <s v="TASK0010"/>
    <s v="Performance Review"/>
    <s v="Emma Brown"/>
    <s v="Sales"/>
    <d v="2026-02-09T00:00:00"/>
    <d v="2026-02-19T00:00:00"/>
    <m/>
    <s v="Overdue"/>
    <x v="1"/>
    <b v="1"/>
    <n v="5"/>
    <n v="9"/>
  </r>
  <r>
    <s v="TASK0011"/>
    <s v="Quarterly Report"/>
    <s v="Karen Thomas"/>
    <s v="Finance"/>
    <d v="2025-12-25T00:00:00"/>
    <d v="2026-01-18T00:00:00"/>
    <d v="2026-01-23T00:00:00"/>
    <s v="Completed"/>
    <x v="2"/>
    <b v="1"/>
    <n v="5"/>
    <n v="9"/>
  </r>
  <r>
    <s v="TASK0012"/>
    <s v="Risk Assessment"/>
    <s v="James Anderson"/>
    <s v="Sales"/>
    <d v="2025-08-16T00:00:00"/>
    <d v="2025-09-03T00:00:00"/>
    <m/>
    <s v="Overdue"/>
    <x v="0"/>
    <b v="1"/>
    <n v="1"/>
    <n v="6"/>
  </r>
  <r>
    <s v="TASK0013"/>
    <s v="Risk Assessment"/>
    <s v="Carol White"/>
    <s v="IT"/>
    <d v="2026-01-20T00:00:00"/>
    <d v="2026-02-07T00:00:00"/>
    <m/>
    <s v="In Progress"/>
    <x v="2"/>
    <b v="0"/>
    <n v="0"/>
    <n v="7"/>
  </r>
  <r>
    <s v="TASK0014"/>
    <s v="Budget Review"/>
    <s v="Bob Martinez"/>
    <s v="HR"/>
    <d v="2025-09-09T00:00:00"/>
    <d v="2025-10-03T00:00:00"/>
    <m/>
    <s v="In Progress"/>
    <x v="0"/>
    <b v="0"/>
    <n v="0"/>
    <n v="8"/>
  </r>
  <r>
    <s v="TASK0015"/>
    <s v="Client Presentation"/>
    <s v="Emma Brown"/>
    <s v="Sales"/>
    <d v="2025-05-05T00:00:00"/>
    <d v="2025-05-19T00:00:00"/>
    <d v="2025-05-26T00:00:00"/>
    <s v="Completed"/>
    <x v="3"/>
    <b v="1"/>
    <n v="7"/>
    <n v="10"/>
  </r>
  <r>
    <s v="TASK0016"/>
    <s v="Data Migration"/>
    <s v="Maria Harris"/>
    <s v="IT"/>
    <d v="2026-02-17T00:00:00"/>
    <d v="2026-02-27T00:00:00"/>
    <d v="2026-03-01T00:00:00"/>
    <s v="Completed"/>
    <x v="2"/>
    <b v="1"/>
    <n v="2"/>
    <n v="9"/>
  </r>
  <r>
    <s v="TASK0017"/>
    <s v="Vendor Evaluation"/>
    <s v="James Anderson"/>
    <s v="Sales"/>
    <d v="2025-07-04T00:00:00"/>
    <d v="2025-07-17T00:00:00"/>
    <m/>
    <s v="Overdue"/>
    <x v="0"/>
    <b v="1"/>
    <n v="8"/>
    <n v="10"/>
  </r>
  <r>
    <s v="TASK0018"/>
    <s v="Budget Review"/>
    <s v="Maria Harris"/>
    <s v="IT"/>
    <d v="2025-12-14T00:00:00"/>
    <d v="2026-01-05T00:00:00"/>
    <d v="2026-01-09T00:00:00"/>
    <s v="Completed"/>
    <x v="2"/>
    <b v="1"/>
    <n v="4"/>
    <n v="2"/>
  </r>
  <r>
    <s v="TASK0019"/>
    <s v="Team Meeting"/>
    <s v="Grace Chen"/>
    <s v="HR"/>
    <d v="2025-08-12T00:00:00"/>
    <d v="2025-09-02T00:00:00"/>
    <d v="2025-09-04T00:00:00"/>
    <s v="Completed"/>
    <x v="2"/>
    <b v="1"/>
    <n v="2"/>
    <n v="10"/>
  </r>
  <r>
    <s v="TASK0020"/>
    <s v="Contract Negotiation"/>
    <s v="Grace Chen"/>
    <s v="HR"/>
    <d v="2025-10-01T00:00:00"/>
    <d v="2025-10-13T00:00:00"/>
    <d v="2025-10-20T00:00:00"/>
    <s v="Completed"/>
    <x v="2"/>
    <b v="1"/>
    <n v="7"/>
    <n v="7"/>
  </r>
  <r>
    <s v="TASK0021"/>
    <s v="Code Review"/>
    <s v="Bob Martinez"/>
    <s v="HR"/>
    <d v="2025-08-11T00:00:00"/>
    <d v="2025-09-01T00:00:00"/>
    <m/>
    <s v="Cancelled"/>
    <x v="2"/>
    <b v="0"/>
    <n v="0"/>
    <n v="4"/>
  </r>
  <r>
    <s v="TASK0022"/>
    <s v="Data Migration"/>
    <s v="Grace Chen"/>
    <s v="HR"/>
    <d v="2025-11-19T00:00:00"/>
    <d v="2025-12-13T00:00:00"/>
    <m/>
    <s v="Overdue"/>
    <x v="1"/>
    <b v="1"/>
    <n v="9"/>
    <n v="3"/>
  </r>
  <r>
    <s v="TASK0023"/>
    <s v="System Upgrade"/>
    <s v="Liam Jackson"/>
    <s v="HR"/>
    <d v="2025-07-25T00:00:00"/>
    <d v="2025-08-16T00:00:00"/>
    <m/>
    <s v="Cancelled"/>
    <x v="3"/>
    <b v="0"/>
    <n v="0"/>
    <n v="3"/>
  </r>
  <r>
    <s v="TASK0024"/>
    <s v="Team Meeting"/>
    <s v="David Lee"/>
    <s v="Operations"/>
    <d v="2025-07-28T00:00:00"/>
    <d v="2025-08-23T00:00:00"/>
    <m/>
    <s v="In Progress"/>
    <x v="2"/>
    <b v="0"/>
    <n v="0"/>
    <n v="6"/>
  </r>
  <r>
    <s v="TASK0025"/>
    <s v="Compliance Audit"/>
    <s v="Alice Johnson"/>
    <s v="Finance"/>
    <d v="2025-10-10T00:00:00"/>
    <d v="2025-10-16T00:00:00"/>
    <d v="2025-10-19T00:00:00"/>
    <s v="Completed"/>
    <x v="0"/>
    <b v="1"/>
    <n v="3"/>
    <n v="8"/>
  </r>
  <r>
    <s v="TASK0026"/>
    <s v="Dashboard Setup"/>
    <s v="Bob Martinez"/>
    <s v="HR"/>
    <d v="2025-01-19T00:00:00"/>
    <d v="2025-01-26T00:00:00"/>
    <d v="2025-01-28T00:00:00"/>
    <s v="Completed"/>
    <x v="3"/>
    <b v="1"/>
    <n v="2"/>
    <n v="7"/>
  </r>
  <r>
    <s v="TASK0027"/>
    <s v="Team Meeting"/>
    <s v="Carol White"/>
    <s v="IT"/>
    <d v="2025-09-22T00:00:00"/>
    <d v="2025-10-16T00:00:00"/>
    <d v="2025-10-15T00:00:00"/>
    <s v="Completed"/>
    <x v="2"/>
    <b v="0"/>
    <n v="0"/>
    <n v="4"/>
  </r>
  <r>
    <s v="TASK0028"/>
    <s v="Contract Negotiation"/>
    <s v="Emma Brown"/>
    <s v="Sales"/>
    <d v="2025-09-23T00:00:00"/>
    <d v="2025-10-03T00:00:00"/>
    <d v="2025-10-01T00:00:00"/>
    <s v="Completed"/>
    <x v="0"/>
    <b v="0"/>
    <n v="0"/>
    <n v="10"/>
  </r>
  <r>
    <s v="TASK0029"/>
    <s v="Budget Review"/>
    <s v="Carol White"/>
    <s v="IT"/>
    <d v="2025-02-07T00:00:00"/>
    <d v="2025-02-17T00:00:00"/>
    <m/>
    <s v="Overdue"/>
    <x v="0"/>
    <b v="1"/>
    <n v="10"/>
    <n v="10"/>
  </r>
  <r>
    <s v="TASK0030"/>
    <s v="Product Launch"/>
    <s v="Karen Thomas"/>
    <s v="Finance"/>
    <d v="2025-08-02T00:00:00"/>
    <d v="2025-08-26T00:00:00"/>
    <m/>
    <s v="In Progress"/>
    <x v="1"/>
    <b v="0"/>
    <n v="0"/>
    <n v="5"/>
  </r>
  <r>
    <s v="TASK0031"/>
    <s v="Process Improvement"/>
    <s v="Emma Brown"/>
    <s v="Sales"/>
    <d v="2025-05-09T00:00:00"/>
    <d v="2025-05-12T00:00:00"/>
    <d v="2025-05-13T00:00:00"/>
    <s v="Completed"/>
    <x v="2"/>
    <b v="1"/>
    <n v="1"/>
    <n v="9"/>
  </r>
  <r>
    <s v="TASK0032"/>
    <s v="Training Session"/>
    <s v="Maria Harris"/>
    <s v="IT"/>
    <d v="2025-05-23T00:00:00"/>
    <d v="2025-05-28T00:00:00"/>
    <d v="2025-06-01T00:00:00"/>
    <s v="Completed"/>
    <x v="1"/>
    <b v="1"/>
    <n v="4"/>
    <n v="4"/>
  </r>
  <r>
    <s v="TASK0033"/>
    <s v="Security Patch"/>
    <s v="Karen Thomas"/>
    <s v="Finance"/>
    <d v="2026-02-27T00:00:00"/>
    <d v="2026-03-22T00:00:00"/>
    <m/>
    <s v="In Progress"/>
    <x v="2"/>
    <b v="0"/>
    <n v="0"/>
    <n v="8"/>
  </r>
  <r>
    <s v="TASK0034"/>
    <s v="Client Presentation"/>
    <s v="Emma Brown"/>
    <s v="Sales"/>
    <d v="2025-01-17T00:00:00"/>
    <d v="2025-01-23T00:00:00"/>
    <d v="2025-01-26T00:00:00"/>
    <s v="Completed"/>
    <x v="1"/>
    <b v="1"/>
    <n v="3"/>
    <n v="2"/>
  </r>
  <r>
    <s v="TASK0035"/>
    <s v="Market Analysis"/>
    <s v="Isabella Taylor"/>
    <s v="Operations"/>
    <d v="2025-05-23T00:00:00"/>
    <d v="2025-05-31T00:00:00"/>
    <m/>
    <s v="Overdue"/>
    <x v="1"/>
    <b v="1"/>
    <n v="19"/>
    <n v="4"/>
  </r>
  <r>
    <s v="TASK0036"/>
    <s v="Market Analysis"/>
    <s v="James Anderson"/>
    <s v="Sales"/>
    <d v="2026-02-26T00:00:00"/>
    <d v="2026-03-05T00:00:00"/>
    <d v="2026-03-04T00:00:00"/>
    <s v="Completed"/>
    <x v="0"/>
    <b v="0"/>
    <n v="0"/>
    <n v="3"/>
  </r>
  <r>
    <s v="TASK0037"/>
    <s v="Team Meeting"/>
    <s v="Henry Davis"/>
    <s v="IT"/>
    <d v="2026-02-06T00:00:00"/>
    <d v="2026-02-11T00:00:00"/>
    <m/>
    <s v="Cancelled"/>
    <x v="0"/>
    <b v="0"/>
    <n v="0"/>
    <n v="1"/>
  </r>
  <r>
    <s v="TASK0038"/>
    <s v="Product Launch"/>
    <s v="Liam Jackson"/>
    <s v="HR"/>
    <d v="2025-07-31T00:00:00"/>
    <d v="2025-08-11T00:00:00"/>
    <m/>
    <s v="Overdue"/>
    <x v="1"/>
    <b v="1"/>
    <n v="1"/>
    <n v="2"/>
  </r>
  <r>
    <s v="TASK0039"/>
    <s v="Budget Review"/>
    <s v="Liam Jackson"/>
    <s v="HR"/>
    <d v="2025-11-28T00:00:00"/>
    <d v="2025-12-21T00:00:00"/>
    <d v="2025-12-22T00:00:00"/>
    <s v="Completed"/>
    <x v="0"/>
    <b v="1"/>
    <n v="1"/>
    <n v="9"/>
  </r>
  <r>
    <s v="TASK0040"/>
    <s v="System Upgrade"/>
    <s v="David Lee"/>
    <s v="Operations"/>
    <d v="2025-01-31T00:00:00"/>
    <d v="2025-02-25T00:00:00"/>
    <d v="2025-03-03T00:00:00"/>
    <s v="Completed"/>
    <x v="1"/>
    <b v="1"/>
    <n v="6"/>
    <n v="1"/>
  </r>
  <r>
    <s v="TASK0041"/>
    <s v="Stakeholder Report"/>
    <s v="Carol White"/>
    <s v="IT"/>
    <d v="2025-01-21T00:00:00"/>
    <d v="2025-01-29T00:00:00"/>
    <m/>
    <s v="In Progress"/>
    <x v="2"/>
    <b v="0"/>
    <n v="0"/>
    <n v="8"/>
  </r>
  <r>
    <s v="TASK0042"/>
    <s v="Risk Assessment"/>
    <s v="Emma Brown"/>
    <s v="Sales"/>
    <d v="2025-08-14T00:00:00"/>
    <d v="2025-08-28T00:00:00"/>
    <m/>
    <s v="Cancelled"/>
    <x v="0"/>
    <b v="0"/>
    <n v="0"/>
    <n v="4"/>
  </r>
  <r>
    <s v="TASK0043"/>
    <s v="System Upgrade"/>
    <s v="Carol White"/>
    <s v="IT"/>
    <d v="2025-01-09T00:00:00"/>
    <d v="2025-01-30T00:00:00"/>
    <d v="2025-02-06T00:00:00"/>
    <s v="Completed"/>
    <x v="3"/>
    <b v="1"/>
    <n v="7"/>
    <n v="3"/>
  </r>
  <r>
    <s v="TASK0044"/>
    <s v="Training Session"/>
    <s v="Bob Martinez"/>
    <s v="HR"/>
    <d v="2025-07-07T00:00:00"/>
    <d v="2025-07-15T00:00:00"/>
    <m/>
    <s v="In Progress"/>
    <x v="0"/>
    <b v="0"/>
    <n v="0"/>
    <n v="8"/>
  </r>
  <r>
    <s v="TASK0045"/>
    <s v="Policy Update"/>
    <s v="Maria Harris"/>
    <s v="IT"/>
    <d v="2025-02-28T00:00:00"/>
    <d v="2025-03-14T00:00:00"/>
    <m/>
    <s v="Overdue"/>
    <x v="0"/>
    <b v="1"/>
    <n v="3"/>
    <n v="9"/>
  </r>
  <r>
    <s v="TASK0046"/>
    <s v="System Upgrade"/>
    <s v="Isabella Taylor"/>
    <s v="Operations"/>
    <d v="2025-08-08T00:00:00"/>
    <d v="2025-08-24T00:00:00"/>
    <d v="2025-08-28T00:00:00"/>
    <s v="Completed"/>
    <x v="2"/>
    <b v="1"/>
    <n v="4"/>
    <n v="10"/>
  </r>
  <r>
    <s v="TASK0047"/>
    <s v="Risk Assessment"/>
    <s v="Emma Brown"/>
    <s v="Sales"/>
    <d v="2025-01-12T00:00:00"/>
    <d v="2025-01-31T00:00:00"/>
    <m/>
    <s v="Cancelled"/>
    <x v="2"/>
    <b v="0"/>
    <n v="0"/>
    <n v="10"/>
  </r>
  <r>
    <s v="TASK0048"/>
    <s v="System Upgrade"/>
    <s v="Isabella Taylor"/>
    <s v="Operations"/>
    <d v="2025-12-03T00:00:00"/>
    <d v="2025-12-17T00:00:00"/>
    <d v="2025-12-15T00:00:00"/>
    <s v="Completed"/>
    <x v="0"/>
    <b v="0"/>
    <n v="0"/>
    <n v="8"/>
  </r>
  <r>
    <s v="TASK0049"/>
    <s v="Policy Update"/>
    <s v="Olivia Lewis"/>
    <s v="Sales"/>
    <d v="2025-07-14T00:00:00"/>
    <d v="2025-07-29T00:00:00"/>
    <m/>
    <s v="Cancelled"/>
    <x v="0"/>
    <b v="0"/>
    <n v="0"/>
    <n v="8"/>
  </r>
  <r>
    <s v="TASK0050"/>
    <s v="Data Migration"/>
    <s v="James Anderson"/>
    <s v="Sales"/>
    <d v="2026-01-09T00:00:00"/>
    <d v="2026-01-18T00:00:00"/>
    <d v="2026-01-23T00:00:00"/>
    <s v="Completed"/>
    <x v="3"/>
    <b v="1"/>
    <n v="5"/>
    <n v="8"/>
  </r>
  <r>
    <s v="TASK0051"/>
    <s v="Code Review"/>
    <s v="Grace Chen"/>
    <s v="HR"/>
    <d v="2026-01-26T00:00:00"/>
    <d v="2026-02-18T00:00:00"/>
    <m/>
    <s v="In Progress"/>
    <x v="0"/>
    <b v="0"/>
    <n v="0"/>
    <n v="3"/>
  </r>
  <r>
    <s v="TASK0052"/>
    <s v="Process Improvement"/>
    <s v="James Anderson"/>
    <s v="Sales"/>
    <d v="2025-02-21T00:00:00"/>
    <d v="2025-03-13T00:00:00"/>
    <d v="2025-03-20T00:00:00"/>
    <s v="Completed"/>
    <x v="0"/>
    <b v="1"/>
    <n v="7"/>
    <n v="10"/>
  </r>
  <r>
    <s v="TASK0053"/>
    <s v="Client Presentation"/>
    <s v="Nathan Clark"/>
    <s v="Operations"/>
    <d v="2026-03-24T00:00:00"/>
    <d v="2026-04-16T00:00:00"/>
    <d v="2026-04-22T00:00:00"/>
    <s v="Completed"/>
    <x v="0"/>
    <b v="1"/>
    <n v="6"/>
    <n v="3"/>
  </r>
  <r>
    <s v="TASK0054"/>
    <s v="Training Session"/>
    <s v="Maria Harris"/>
    <s v="IT"/>
    <d v="2025-06-11T00:00:00"/>
    <d v="2025-06-17T00:00:00"/>
    <d v="2025-06-16T00:00:00"/>
    <s v="Completed"/>
    <x v="2"/>
    <b v="0"/>
    <n v="0"/>
    <n v="5"/>
  </r>
  <r>
    <s v="TASK0055"/>
    <s v="Code Review"/>
    <s v="Maria Harris"/>
    <s v="IT"/>
    <d v="2025-09-27T00:00:00"/>
    <d v="2025-10-04T00:00:00"/>
    <d v="2025-10-03T00:00:00"/>
    <s v="Completed"/>
    <x v="2"/>
    <b v="0"/>
    <n v="0"/>
    <n v="10"/>
  </r>
  <r>
    <s v="TASK0056"/>
    <s v="Quarterly Report"/>
    <s v="Emma Brown"/>
    <s v="Sales"/>
    <d v="2025-11-16T00:00:00"/>
    <d v="2025-11-20T00:00:00"/>
    <d v="2025-11-19T00:00:00"/>
    <s v="Completed"/>
    <x v="2"/>
    <b v="0"/>
    <n v="0"/>
    <n v="6"/>
  </r>
  <r>
    <s v="TASK0057"/>
    <s v="Vendor Evaluation"/>
    <s v="Carol White"/>
    <s v="IT"/>
    <d v="2025-12-28T00:00:00"/>
    <d v="2026-01-10T00:00:00"/>
    <m/>
    <s v="In Progress"/>
    <x v="3"/>
    <b v="0"/>
    <n v="0"/>
    <n v="6"/>
  </r>
  <r>
    <s v="TASK0058"/>
    <s v="Dashboard Setup"/>
    <s v="Maria Harris"/>
    <s v="IT"/>
    <d v="2026-01-19T00:00:00"/>
    <d v="2026-02-05T00:00:00"/>
    <m/>
    <s v="Overdue"/>
    <x v="0"/>
    <b v="1"/>
    <n v="1"/>
    <n v="4"/>
  </r>
  <r>
    <s v="TASK0059"/>
    <s v="Contract Negotiation"/>
    <s v="Henry Davis"/>
    <s v="IT"/>
    <d v="2025-09-15T00:00:00"/>
    <d v="2025-10-13T00:00:00"/>
    <d v="2025-10-15T00:00:00"/>
    <s v="Completed"/>
    <x v="2"/>
    <b v="1"/>
    <n v="2"/>
    <n v="2"/>
  </r>
  <r>
    <s v="TASK0060"/>
    <s v="Stakeholder Report"/>
    <s v="Emma Brown"/>
    <s v="Sales"/>
    <d v="2025-02-15T00:00:00"/>
    <d v="2025-02-20T00:00:00"/>
    <d v="2025-02-26T00:00:00"/>
    <s v="Completed"/>
    <x v="2"/>
    <b v="1"/>
    <n v="6"/>
    <n v="1"/>
  </r>
  <r>
    <s v="TASK0061"/>
    <s v="Policy Update"/>
    <s v="Bob Martinez"/>
    <s v="HR"/>
    <d v="2026-01-15T00:00:00"/>
    <d v="2026-02-08T00:00:00"/>
    <d v="2026-02-15T00:00:00"/>
    <s v="Completed"/>
    <x v="1"/>
    <b v="1"/>
    <n v="7"/>
    <n v="1"/>
  </r>
  <r>
    <s v="TASK0062"/>
    <s v="Contract Negotiation"/>
    <s v="David Lee"/>
    <s v="Operations"/>
    <d v="2025-10-17T00:00:00"/>
    <d v="2025-11-05T00:00:00"/>
    <m/>
    <s v="Overdue"/>
    <x v="1"/>
    <b v="1"/>
    <n v="15"/>
    <n v="10"/>
  </r>
  <r>
    <s v="TASK0063"/>
    <s v="Market Analysis"/>
    <s v="Liam Jackson"/>
    <s v="HR"/>
    <d v="2026-01-21T00:00:00"/>
    <d v="2026-02-15T00:00:00"/>
    <d v="2026-02-17T00:00:00"/>
    <s v="Completed"/>
    <x v="0"/>
    <b v="1"/>
    <n v="2"/>
    <n v="2"/>
  </r>
  <r>
    <s v="TASK0064"/>
    <s v="Budget Review"/>
    <s v="Liam Jackson"/>
    <s v="HR"/>
    <d v="2025-03-04T00:00:00"/>
    <d v="2025-03-18T00:00:00"/>
    <d v="2025-03-20T00:00:00"/>
    <s v="Completed"/>
    <x v="0"/>
    <b v="1"/>
    <n v="2"/>
    <n v="4"/>
  </r>
  <r>
    <s v="TASK0065"/>
    <s v="Product Launch"/>
    <s v="Carol White"/>
    <s v="IT"/>
    <d v="2025-06-14T00:00:00"/>
    <d v="2025-07-06T00:00:00"/>
    <d v="2025-07-07T00:00:00"/>
    <s v="Completed"/>
    <x v="2"/>
    <b v="1"/>
    <n v="1"/>
    <n v="5"/>
  </r>
  <r>
    <s v="TASK0066"/>
    <s v="Dashboard Setup"/>
    <s v="Grace Chen"/>
    <s v="HR"/>
    <d v="2026-03-03T00:00:00"/>
    <d v="2026-03-24T00:00:00"/>
    <d v="2026-03-31T00:00:00"/>
    <s v="Completed"/>
    <x v="0"/>
    <b v="1"/>
    <n v="7"/>
    <n v="4"/>
  </r>
  <r>
    <s v="TASK0067"/>
    <s v="Market Analysis"/>
    <s v="Maria Harris"/>
    <s v="IT"/>
    <d v="2026-01-17T00:00:00"/>
    <d v="2026-02-02T00:00:00"/>
    <d v="2026-02-06T00:00:00"/>
    <s v="Completed"/>
    <x v="2"/>
    <b v="1"/>
    <n v="4"/>
    <n v="5"/>
  </r>
  <r>
    <s v="TASK0068"/>
    <s v="Budget Review"/>
    <s v="David Lee"/>
    <s v="Operations"/>
    <d v="2025-05-10T00:00:00"/>
    <d v="2025-05-17T00:00:00"/>
    <m/>
    <s v="In Progress"/>
    <x v="0"/>
    <b v="0"/>
    <n v="0"/>
    <n v="9"/>
  </r>
  <r>
    <s v="TASK0069"/>
    <s v="Stakeholder Report"/>
    <s v="Liam Jackson"/>
    <s v="HR"/>
    <d v="2026-02-18T00:00:00"/>
    <d v="2026-02-24T00:00:00"/>
    <m/>
    <s v="In Progress"/>
    <x v="2"/>
    <b v="0"/>
    <n v="0"/>
    <n v="6"/>
  </r>
  <r>
    <s v="TASK0070"/>
    <s v="Training Session"/>
    <s v="Olivia Lewis"/>
    <s v="Sales"/>
    <d v="2025-02-08T00:00:00"/>
    <d v="2025-02-25T00:00:00"/>
    <m/>
    <s v="In Progress"/>
    <x v="3"/>
    <b v="0"/>
    <n v="0"/>
    <n v="7"/>
  </r>
  <r>
    <s v="TASK0071"/>
    <s v="Policy Update"/>
    <s v="Olivia Lewis"/>
    <s v="Sales"/>
    <d v="2025-07-03T00:00:00"/>
    <d v="2025-07-22T00:00:00"/>
    <m/>
    <s v="Cancelled"/>
    <x v="2"/>
    <b v="0"/>
    <n v="0"/>
    <n v="2"/>
  </r>
  <r>
    <s v="TASK0072"/>
    <s v="Budget Review"/>
    <s v="Grace Chen"/>
    <s v="HR"/>
    <d v="2025-04-25T00:00:00"/>
    <d v="2025-05-17T00:00:00"/>
    <m/>
    <s v="Cancelled"/>
    <x v="0"/>
    <b v="0"/>
    <n v="0"/>
    <n v="8"/>
  </r>
  <r>
    <s v="TASK0073"/>
    <s v="Team Meeting"/>
    <s v="Isabella Taylor"/>
    <s v="Operations"/>
    <d v="2025-02-28T00:00:00"/>
    <d v="2025-03-18T00:00:00"/>
    <m/>
    <s v="In Progress"/>
    <x v="3"/>
    <b v="0"/>
    <n v="0"/>
    <n v="2"/>
  </r>
  <r>
    <s v="TASK0074"/>
    <s v="Security Patch"/>
    <s v="Alice Johnson"/>
    <s v="Finance"/>
    <d v="2025-12-10T00:00:00"/>
    <d v="2026-01-06T00:00:00"/>
    <d v="2026-01-11T00:00:00"/>
    <s v="Completed"/>
    <x v="0"/>
    <b v="1"/>
    <n v="5"/>
    <n v="6"/>
  </r>
  <r>
    <s v="TASK0075"/>
    <s v="Policy Update"/>
    <s v="Henry Davis"/>
    <s v="IT"/>
    <d v="2025-02-23T00:00:00"/>
    <d v="2025-03-19T00:00:00"/>
    <m/>
    <s v="Cancelled"/>
    <x v="0"/>
    <b v="0"/>
    <n v="0"/>
    <n v="5"/>
  </r>
  <r>
    <s v="TASK0076"/>
    <s v="Process Improvement"/>
    <s v="Bob Martinez"/>
    <s v="HR"/>
    <d v="2026-02-19T00:00:00"/>
    <d v="2026-03-14T00:00:00"/>
    <m/>
    <s v="In Progress"/>
    <x v="3"/>
    <b v="0"/>
    <n v="0"/>
    <n v="8"/>
  </r>
  <r>
    <s v="TASK0077"/>
    <s v="Policy Update"/>
    <s v="David Lee"/>
    <s v="Operations"/>
    <d v="2025-12-10T00:00:00"/>
    <d v="2025-12-30T00:00:00"/>
    <m/>
    <s v="Overdue"/>
    <x v="2"/>
    <b v="1"/>
    <n v="6"/>
    <n v="7"/>
  </r>
  <r>
    <s v="TASK0078"/>
    <s v="Market Analysis"/>
    <s v="Liam Jackson"/>
    <s v="HR"/>
    <d v="2025-03-08T00:00:00"/>
    <d v="2025-03-13T00:00:00"/>
    <d v="2025-03-20T00:00:00"/>
    <s v="Completed"/>
    <x v="2"/>
    <b v="1"/>
    <n v="7"/>
    <n v="4"/>
  </r>
  <r>
    <s v="TASK0079"/>
    <s v="Team Meeting"/>
    <s v="Isabella Taylor"/>
    <s v="Operations"/>
    <d v="2025-09-06T00:00:00"/>
    <d v="2025-10-04T00:00:00"/>
    <m/>
    <s v="In Progress"/>
    <x v="2"/>
    <b v="0"/>
    <n v="0"/>
    <n v="5"/>
  </r>
  <r>
    <s v="TASK0080"/>
    <s v="Performance Review"/>
    <s v="Olivia Lewis"/>
    <s v="Sales"/>
    <d v="2025-10-21T00:00:00"/>
    <d v="2025-11-19T00:00:00"/>
    <d v="2025-11-17T00:00:00"/>
    <s v="Completed"/>
    <x v="0"/>
    <b v="0"/>
    <n v="0"/>
    <n v="2"/>
  </r>
  <r>
    <s v="TASK0081"/>
    <s v="Stakeholder Report"/>
    <s v="Karen Thomas"/>
    <s v="Finance"/>
    <d v="2026-01-31T00:00:00"/>
    <d v="2026-02-20T00:00:00"/>
    <d v="2026-02-19T00:00:00"/>
    <s v="Completed"/>
    <x v="1"/>
    <b v="0"/>
    <n v="0"/>
    <n v="3"/>
  </r>
  <r>
    <s v="TASK0082"/>
    <s v="Quarterly Report"/>
    <s v="Bob Martinez"/>
    <s v="HR"/>
    <d v="2025-02-13T00:00:00"/>
    <d v="2025-02-28T00:00:00"/>
    <m/>
    <s v="In Progress"/>
    <x v="0"/>
    <b v="0"/>
    <n v="0"/>
    <n v="6"/>
  </r>
  <r>
    <s v="TASK0083"/>
    <s v="Compliance Audit"/>
    <s v="Karen Thomas"/>
    <s v="Finance"/>
    <d v="2025-07-19T00:00:00"/>
    <d v="2025-07-22T00:00:00"/>
    <d v="2025-07-23T00:00:00"/>
    <s v="Completed"/>
    <x v="2"/>
    <b v="1"/>
    <n v="1"/>
    <n v="9"/>
  </r>
  <r>
    <s v="TASK0084"/>
    <s v="Performance Review"/>
    <s v="Henry Davis"/>
    <s v="IT"/>
    <d v="2026-03-25T00:00:00"/>
    <d v="2026-03-29T00:00:00"/>
    <d v="2026-04-04T00:00:00"/>
    <s v="Completed"/>
    <x v="0"/>
    <b v="1"/>
    <n v="6"/>
    <n v="10"/>
  </r>
  <r>
    <s v="TASK0085"/>
    <s v="Vendor Evaluation"/>
    <s v="Karen Thomas"/>
    <s v="Finance"/>
    <d v="2026-03-26T00:00:00"/>
    <d v="2026-03-29T00:00:00"/>
    <d v="2026-04-02T00:00:00"/>
    <s v="Completed"/>
    <x v="1"/>
    <b v="1"/>
    <n v="4"/>
    <n v="3"/>
  </r>
  <r>
    <s v="TASK0086"/>
    <s v="Stakeholder Report"/>
    <s v="Carol White"/>
    <s v="IT"/>
    <d v="2025-01-14T00:00:00"/>
    <d v="2025-01-23T00:00:00"/>
    <m/>
    <s v="Overdue"/>
    <x v="3"/>
    <b v="1"/>
    <n v="5"/>
    <n v="7"/>
  </r>
  <r>
    <s v="TASK0087"/>
    <s v="Quarterly Report"/>
    <s v="Grace Chen"/>
    <s v="HR"/>
    <d v="2026-02-14T00:00:00"/>
    <d v="2026-02-24T00:00:00"/>
    <d v="2026-02-28T00:00:00"/>
    <s v="Completed"/>
    <x v="0"/>
    <b v="1"/>
    <n v="4"/>
    <n v="2"/>
  </r>
  <r>
    <s v="TASK0088"/>
    <s v="Policy Update"/>
    <s v="Nathan Clark"/>
    <s v="Operations"/>
    <d v="2025-09-30T00:00:00"/>
    <d v="2025-10-29T00:00:00"/>
    <d v="2025-11-04T00:00:00"/>
    <s v="Completed"/>
    <x v="3"/>
    <b v="1"/>
    <n v="6"/>
    <n v="1"/>
  </r>
  <r>
    <s v="TASK0089"/>
    <s v="Vendor Evaluation"/>
    <s v="Olivia Lewis"/>
    <s v="Sales"/>
    <d v="2025-12-27T00:00:00"/>
    <d v="2026-01-25T00:00:00"/>
    <d v="2026-02-01T00:00:00"/>
    <s v="Completed"/>
    <x v="1"/>
    <b v="1"/>
    <n v="7"/>
    <n v="3"/>
  </r>
  <r>
    <s v="TASK0090"/>
    <s v="Process Improvement"/>
    <s v="Bob Martinez"/>
    <s v="HR"/>
    <d v="2025-01-19T00:00:00"/>
    <d v="2025-02-03T00:00:00"/>
    <m/>
    <s v="Overdue"/>
    <x v="0"/>
    <b v="1"/>
    <n v="4"/>
    <n v="8"/>
  </r>
  <r>
    <s v="TASK0091"/>
    <s v="Product Launch"/>
    <s v="Bob Martinez"/>
    <s v="HR"/>
    <d v="2025-10-11T00:00:00"/>
    <d v="2025-10-16T00:00:00"/>
    <m/>
    <s v="Overdue"/>
    <x v="0"/>
    <b v="1"/>
    <n v="17"/>
    <n v="2"/>
  </r>
  <r>
    <s v="TASK0092"/>
    <s v="Quarterly Report"/>
    <s v="Grace Chen"/>
    <s v="HR"/>
    <d v="2025-05-02T00:00:00"/>
    <d v="2025-05-07T00:00:00"/>
    <d v="2025-05-12T00:00:00"/>
    <s v="Completed"/>
    <x v="0"/>
    <b v="1"/>
    <n v="5"/>
    <n v="2"/>
  </r>
  <r>
    <s v="TASK0093"/>
    <s v="Budget Review"/>
    <s v="Henry Davis"/>
    <s v="IT"/>
    <d v="2025-10-05T00:00:00"/>
    <d v="2025-10-08T00:00:00"/>
    <d v="2025-10-06T00:00:00"/>
    <s v="Completed"/>
    <x v="0"/>
    <b v="0"/>
    <n v="0"/>
    <n v="10"/>
  </r>
  <r>
    <s v="TASK0094"/>
    <s v="Performance Review"/>
    <s v="David Lee"/>
    <s v="Operations"/>
    <d v="2025-02-11T00:00:00"/>
    <d v="2025-03-06T00:00:00"/>
    <d v="2025-03-05T00:00:00"/>
    <s v="Completed"/>
    <x v="0"/>
    <b v="0"/>
    <n v="0"/>
    <n v="9"/>
  </r>
  <r>
    <s v="TASK0095"/>
    <s v="Data Migration"/>
    <s v="Frank Wilson"/>
    <s v="Finance"/>
    <d v="2025-10-14T00:00:00"/>
    <d v="2025-11-09T00:00:00"/>
    <m/>
    <s v="Overdue"/>
    <x v="0"/>
    <b v="1"/>
    <n v="11"/>
    <n v="10"/>
  </r>
  <r>
    <s v="TASK0096"/>
    <s v="Process Improvement"/>
    <s v="Grace Chen"/>
    <s v="HR"/>
    <d v="2025-09-18T00:00:00"/>
    <d v="2025-10-05T00:00:00"/>
    <d v="2025-10-09T00:00:00"/>
    <s v="Completed"/>
    <x v="1"/>
    <b v="1"/>
    <n v="4"/>
    <n v="2"/>
  </r>
  <r>
    <s v="TASK0097"/>
    <s v="Risk Assessment"/>
    <s v="David Lee"/>
    <s v="Operations"/>
    <d v="2025-08-17T00:00:00"/>
    <d v="2025-09-07T00:00:00"/>
    <d v="2025-09-09T00:00:00"/>
    <s v="Completed"/>
    <x v="1"/>
    <b v="1"/>
    <n v="2"/>
    <n v="7"/>
  </r>
  <r>
    <s v="TASK0098"/>
    <s v="Code Review"/>
    <s v="Nathan Clark"/>
    <s v="Operations"/>
    <d v="2025-05-06T00:00:00"/>
    <d v="2025-05-11T00:00:00"/>
    <d v="2025-05-12T00:00:00"/>
    <s v="Completed"/>
    <x v="2"/>
    <b v="1"/>
    <n v="1"/>
    <n v="5"/>
  </r>
  <r>
    <s v="TASK0099"/>
    <s v="Market Analysis"/>
    <s v="James Anderson"/>
    <s v="Sales"/>
    <d v="2025-07-05T00:00:00"/>
    <d v="2025-07-12T00:00:00"/>
    <m/>
    <s v="In Progress"/>
    <x v="0"/>
    <b v="0"/>
    <n v="0"/>
    <n v="5"/>
  </r>
  <r>
    <s v="TASK0100"/>
    <s v="Compliance Audit"/>
    <s v="Grace Chen"/>
    <s v="HR"/>
    <d v="2026-02-19T00:00:00"/>
    <d v="2026-02-22T00:00:00"/>
    <m/>
    <s v="In Progress"/>
    <x v="2"/>
    <b v="0"/>
    <n v="0"/>
    <n v="7"/>
  </r>
  <r>
    <s v="TASK0101"/>
    <s v="Budget Review"/>
    <s v="Emma Brown"/>
    <s v="Sales"/>
    <d v="2025-09-15T00:00:00"/>
    <d v="2025-09-27T00:00:00"/>
    <d v="2025-09-30T00:00:00"/>
    <s v="Completed"/>
    <x v="0"/>
    <b v="1"/>
    <n v="3"/>
    <n v="5"/>
  </r>
  <r>
    <s v="TASK0102"/>
    <s v="Contract Negotiation"/>
    <s v="Isabella Taylor"/>
    <s v="Operations"/>
    <d v="2025-05-23T00:00:00"/>
    <d v="2025-06-01T00:00:00"/>
    <m/>
    <s v="In Progress"/>
    <x v="0"/>
    <b v="0"/>
    <n v="0"/>
    <n v="8"/>
  </r>
  <r>
    <s v="TASK0103"/>
    <s v="Contract Negotiation"/>
    <s v="Liam Jackson"/>
    <s v="HR"/>
    <d v="2025-08-25T00:00:00"/>
    <d v="2025-09-06T00:00:00"/>
    <d v="2025-09-13T00:00:00"/>
    <s v="Completed"/>
    <x v="0"/>
    <b v="1"/>
    <n v="7"/>
    <n v="6"/>
  </r>
  <r>
    <s v="TASK0104"/>
    <s v="Code Review"/>
    <s v="Henry Davis"/>
    <s v="IT"/>
    <d v="2026-01-18T00:00:00"/>
    <d v="2026-02-03T00:00:00"/>
    <m/>
    <s v="Overdue"/>
    <x v="0"/>
    <b v="1"/>
    <n v="14"/>
    <n v="2"/>
  </r>
  <r>
    <s v="TASK0105"/>
    <s v="Policy Update"/>
    <s v="Henry Davis"/>
    <s v="IT"/>
    <d v="2025-06-22T00:00:00"/>
    <d v="2025-07-08T00:00:00"/>
    <d v="2025-07-06T00:00:00"/>
    <s v="Completed"/>
    <x v="0"/>
    <b v="0"/>
    <n v="0"/>
    <n v="6"/>
  </r>
  <r>
    <s v="TASK0106"/>
    <s v="Budget Review"/>
    <s v="Bob Martinez"/>
    <s v="HR"/>
    <d v="2025-02-04T00:00:00"/>
    <d v="2025-02-14T00:00:00"/>
    <m/>
    <s v="Overdue"/>
    <x v="3"/>
    <b v="1"/>
    <n v="11"/>
    <n v="9"/>
  </r>
  <r>
    <s v="TASK0107"/>
    <s v="Security Patch"/>
    <s v="Frank Wilson"/>
    <s v="Finance"/>
    <d v="2026-02-11T00:00:00"/>
    <d v="2026-02-14T00:00:00"/>
    <d v="2026-02-16T00:00:00"/>
    <s v="Completed"/>
    <x v="2"/>
    <b v="1"/>
    <n v="2"/>
    <n v="1"/>
  </r>
  <r>
    <s v="TASK0108"/>
    <s v="Team Meeting"/>
    <s v="Maria Harris"/>
    <s v="IT"/>
    <d v="2025-04-18T00:00:00"/>
    <d v="2025-05-07T00:00:00"/>
    <d v="2025-05-11T00:00:00"/>
    <s v="Completed"/>
    <x v="1"/>
    <b v="1"/>
    <n v="4"/>
    <n v="8"/>
  </r>
  <r>
    <s v="TASK0109"/>
    <s v="Market Analysis"/>
    <s v="Bob Martinez"/>
    <s v="HR"/>
    <d v="2025-07-22T00:00:00"/>
    <d v="2025-08-14T00:00:00"/>
    <m/>
    <s v="Cancelled"/>
    <x v="2"/>
    <b v="0"/>
    <n v="0"/>
    <n v="1"/>
  </r>
  <r>
    <s v="TASK0110"/>
    <s v="Dashboard Setup"/>
    <s v="Grace Chen"/>
    <s v="HR"/>
    <d v="2025-06-24T00:00:00"/>
    <d v="2025-07-21T00:00:00"/>
    <m/>
    <s v="In Progress"/>
    <x v="0"/>
    <b v="0"/>
    <n v="0"/>
    <n v="4"/>
  </r>
  <r>
    <s v="TASK0111"/>
    <s v="Product Launch"/>
    <s v="James Anderson"/>
    <s v="Sales"/>
    <d v="2025-07-30T00:00:00"/>
    <d v="2025-08-06T00:00:00"/>
    <d v="2025-08-11T00:00:00"/>
    <s v="Completed"/>
    <x v="3"/>
    <b v="1"/>
    <n v="5"/>
    <n v="8"/>
  </r>
  <r>
    <s v="TASK0112"/>
    <s v="Training Session"/>
    <s v="Carol White"/>
    <s v="IT"/>
    <d v="2025-04-01T00:00:00"/>
    <d v="2025-04-26T00:00:00"/>
    <m/>
    <s v="Cancelled"/>
    <x v="1"/>
    <b v="0"/>
    <n v="0"/>
    <n v="10"/>
  </r>
  <r>
    <s v="TASK0113"/>
    <s v="Policy Update"/>
    <s v="Maria Harris"/>
    <s v="IT"/>
    <d v="2025-06-26T00:00:00"/>
    <d v="2025-07-07T00:00:00"/>
    <d v="2025-07-05T00:00:00"/>
    <s v="Completed"/>
    <x v="2"/>
    <b v="0"/>
    <n v="0"/>
    <n v="10"/>
  </r>
  <r>
    <s v="TASK0114"/>
    <s v="Code Review"/>
    <s v="Maria Harris"/>
    <s v="IT"/>
    <d v="2025-03-09T00:00:00"/>
    <d v="2025-03-20T00:00:00"/>
    <d v="2025-03-19T00:00:00"/>
    <s v="Completed"/>
    <x v="0"/>
    <b v="0"/>
    <n v="0"/>
    <n v="8"/>
  </r>
  <r>
    <s v="TASK0115"/>
    <s v="Team Meeting"/>
    <s v="David Lee"/>
    <s v="Operations"/>
    <d v="2025-05-12T00:00:00"/>
    <d v="2025-05-20T00:00:00"/>
    <d v="2025-05-22T00:00:00"/>
    <s v="Completed"/>
    <x v="3"/>
    <b v="1"/>
    <n v="2"/>
    <n v="10"/>
  </r>
  <r>
    <s v="TASK0116"/>
    <s v="Data Migration"/>
    <s v="Olivia Lewis"/>
    <s v="Sales"/>
    <d v="2025-04-20T00:00:00"/>
    <d v="2025-05-15T00:00:00"/>
    <d v="2025-05-21T00:00:00"/>
    <s v="Completed"/>
    <x v="0"/>
    <b v="1"/>
    <n v="6"/>
    <n v="6"/>
  </r>
  <r>
    <s v="TASK0117"/>
    <s v="Dashboard Setup"/>
    <s v="Maria Harris"/>
    <s v="IT"/>
    <d v="2025-12-10T00:00:00"/>
    <d v="2025-12-29T00:00:00"/>
    <m/>
    <s v="In Progress"/>
    <x v="0"/>
    <b v="0"/>
    <n v="0"/>
    <n v="7"/>
  </r>
  <r>
    <s v="TASK0118"/>
    <s v="Compliance Audit"/>
    <s v="Alice Johnson"/>
    <s v="Finance"/>
    <d v="2026-02-24T00:00:00"/>
    <d v="2026-03-21T00:00:00"/>
    <d v="2026-03-22T00:00:00"/>
    <s v="Completed"/>
    <x v="2"/>
    <b v="1"/>
    <n v="1"/>
    <n v="9"/>
  </r>
  <r>
    <s v="TASK0119"/>
    <s v="Product Launch"/>
    <s v="Henry Davis"/>
    <s v="IT"/>
    <d v="2025-07-13T00:00:00"/>
    <d v="2025-08-09T00:00:00"/>
    <m/>
    <s v="Overdue"/>
    <x v="0"/>
    <b v="1"/>
    <n v="6"/>
    <n v="4"/>
  </r>
  <r>
    <s v="TASK0120"/>
    <s v="Risk Assessment"/>
    <s v="Isabella Taylor"/>
    <s v="Operations"/>
    <d v="2026-01-17T00:00:00"/>
    <d v="2026-02-03T00:00:00"/>
    <d v="2026-02-06T00:00:00"/>
    <s v="Completed"/>
    <x v="1"/>
    <b v="1"/>
    <n v="3"/>
    <n v="6"/>
  </r>
  <r>
    <s v="TASK0121"/>
    <s v="Contract Negotiation"/>
    <s v="Bob Martinez"/>
    <s v="HR"/>
    <d v="2025-06-26T00:00:00"/>
    <d v="2025-07-03T00:00:00"/>
    <m/>
    <s v="Cancelled"/>
    <x v="2"/>
    <b v="0"/>
    <n v="0"/>
    <n v="7"/>
  </r>
  <r>
    <s v="TASK0122"/>
    <s v="Contract Negotiation"/>
    <s v="Alice Johnson"/>
    <s v="Finance"/>
    <d v="2026-02-22T00:00:00"/>
    <d v="2026-03-15T00:00:00"/>
    <d v="2026-03-17T00:00:00"/>
    <s v="Completed"/>
    <x v="2"/>
    <b v="1"/>
    <n v="2"/>
    <n v="4"/>
  </r>
  <r>
    <s v="TASK0123"/>
    <s v="Process Improvement"/>
    <s v="Grace Chen"/>
    <s v="HR"/>
    <d v="2025-05-06T00:00:00"/>
    <d v="2025-05-13T00:00:00"/>
    <d v="2025-05-18T00:00:00"/>
    <s v="Completed"/>
    <x v="0"/>
    <b v="1"/>
    <n v="5"/>
    <n v="4"/>
  </r>
  <r>
    <s v="TASK0124"/>
    <s v="Stakeholder Report"/>
    <s v="Henry Davis"/>
    <s v="IT"/>
    <d v="2025-08-03T00:00:00"/>
    <d v="2025-09-01T00:00:00"/>
    <m/>
    <s v="In Progress"/>
    <x v="1"/>
    <b v="0"/>
    <n v="0"/>
    <n v="7"/>
  </r>
  <r>
    <s v="TASK0125"/>
    <s v="Market Analysis"/>
    <s v="Liam Jackson"/>
    <s v="HR"/>
    <d v="2025-10-08T00:00:00"/>
    <d v="2025-11-01T00:00:00"/>
    <m/>
    <s v="In Progress"/>
    <x v="1"/>
    <b v="0"/>
    <n v="0"/>
    <n v="3"/>
  </r>
  <r>
    <s v="TASK0126"/>
    <s v="Policy Update"/>
    <s v="Grace Chen"/>
    <s v="HR"/>
    <d v="2025-07-18T00:00:00"/>
    <d v="2025-08-07T00:00:00"/>
    <m/>
    <s v="Overdue"/>
    <x v="2"/>
    <b v="1"/>
    <n v="11"/>
    <n v="9"/>
  </r>
  <r>
    <s v="TASK0127"/>
    <s v="Team Meeting"/>
    <s v="Olivia Lewis"/>
    <s v="Sales"/>
    <d v="2025-05-10T00:00:00"/>
    <d v="2025-06-04T00:00:00"/>
    <m/>
    <s v="Cancelled"/>
    <x v="1"/>
    <b v="0"/>
    <n v="0"/>
    <n v="7"/>
  </r>
  <r>
    <s v="TASK0128"/>
    <s v="System Upgrade"/>
    <s v="Liam Jackson"/>
    <s v="HR"/>
    <d v="2025-05-14T00:00:00"/>
    <d v="2025-05-18T00:00:00"/>
    <d v="2025-05-21T00:00:00"/>
    <s v="Completed"/>
    <x v="0"/>
    <b v="1"/>
    <n v="3"/>
    <n v="1"/>
  </r>
  <r>
    <s v="TASK0129"/>
    <s v="Risk Assessment"/>
    <s v="Liam Jackson"/>
    <s v="HR"/>
    <d v="2025-05-27T00:00:00"/>
    <d v="2025-06-25T00:00:00"/>
    <m/>
    <s v="Cancelled"/>
    <x v="0"/>
    <b v="0"/>
    <n v="0"/>
    <n v="9"/>
  </r>
  <r>
    <s v="TASK0130"/>
    <s v="Client Presentation"/>
    <s v="David Lee"/>
    <s v="Operations"/>
    <d v="2025-09-07T00:00:00"/>
    <d v="2025-09-24T00:00:00"/>
    <d v="2025-09-30T00:00:00"/>
    <s v="Completed"/>
    <x v="0"/>
    <b v="1"/>
    <n v="6"/>
    <n v="5"/>
  </r>
  <r>
    <s v="TASK0131"/>
    <s v="Budget Review"/>
    <s v="David Lee"/>
    <s v="Operations"/>
    <d v="2025-06-17T00:00:00"/>
    <d v="2025-07-15T00:00:00"/>
    <d v="2025-07-13T00:00:00"/>
    <s v="Completed"/>
    <x v="1"/>
    <b v="0"/>
    <n v="0"/>
    <n v="10"/>
  </r>
  <r>
    <s v="TASK0132"/>
    <s v="Vendor Evaluation"/>
    <s v="Frank Wilson"/>
    <s v="Finance"/>
    <d v="2025-12-15T00:00:00"/>
    <d v="2025-12-18T00:00:00"/>
    <m/>
    <s v="In Progress"/>
    <x v="0"/>
    <b v="0"/>
    <n v="0"/>
    <n v="2"/>
  </r>
  <r>
    <s v="TASK0133"/>
    <s v="Quarterly Report"/>
    <s v="Maria Harris"/>
    <s v="IT"/>
    <d v="2026-02-13T00:00:00"/>
    <d v="2026-02-22T00:00:00"/>
    <m/>
    <s v="Overdue"/>
    <x v="0"/>
    <b v="1"/>
    <n v="2"/>
    <n v="4"/>
  </r>
  <r>
    <s v="TASK0134"/>
    <s v="Product Launch"/>
    <s v="James Anderson"/>
    <s v="Sales"/>
    <d v="2025-04-29T00:00:00"/>
    <d v="2025-05-20T00:00:00"/>
    <d v="2025-05-23T00:00:00"/>
    <s v="Completed"/>
    <x v="1"/>
    <b v="1"/>
    <n v="3"/>
    <n v="10"/>
  </r>
  <r>
    <s v="TASK0135"/>
    <s v="Vendor Evaluation"/>
    <s v="Alice Johnson"/>
    <s v="Finance"/>
    <d v="2025-04-25T00:00:00"/>
    <d v="2025-05-04T00:00:00"/>
    <m/>
    <s v="Overdue"/>
    <x v="0"/>
    <b v="1"/>
    <n v="8"/>
    <n v="7"/>
  </r>
  <r>
    <s v="TASK0136"/>
    <s v="Data Migration"/>
    <s v="Maria Harris"/>
    <s v="IT"/>
    <d v="2025-11-16T00:00:00"/>
    <d v="2025-12-04T00:00:00"/>
    <m/>
    <s v="Overdue"/>
    <x v="2"/>
    <b v="1"/>
    <n v="9"/>
    <n v="10"/>
  </r>
  <r>
    <s v="TASK0137"/>
    <s v="Team Meeting"/>
    <s v="Frank Wilson"/>
    <s v="Finance"/>
    <d v="2025-11-02T00:00:00"/>
    <d v="2025-11-07T00:00:00"/>
    <m/>
    <s v="Overdue"/>
    <x v="2"/>
    <b v="1"/>
    <n v="13"/>
    <n v="9"/>
  </r>
  <r>
    <s v="TASK0138"/>
    <s v="Market Analysis"/>
    <s v="Frank Wilson"/>
    <s v="Finance"/>
    <d v="2025-10-15T00:00:00"/>
    <d v="2025-10-26T00:00:00"/>
    <m/>
    <s v="Overdue"/>
    <x v="0"/>
    <b v="1"/>
    <n v="15"/>
    <n v="6"/>
  </r>
  <r>
    <s v="TASK0139"/>
    <s v="Market Analysis"/>
    <s v="Grace Chen"/>
    <s v="HR"/>
    <d v="2026-01-21T00:00:00"/>
    <d v="2026-02-11T00:00:00"/>
    <m/>
    <s v="In Progress"/>
    <x v="2"/>
    <b v="0"/>
    <n v="0"/>
    <n v="2"/>
  </r>
  <r>
    <s v="TASK0140"/>
    <s v="Client Presentation"/>
    <s v="Liam Jackson"/>
    <s v="HR"/>
    <d v="2025-08-12T00:00:00"/>
    <d v="2025-08-24T00:00:00"/>
    <m/>
    <s v="Cancelled"/>
    <x v="2"/>
    <b v="0"/>
    <n v="0"/>
    <n v="6"/>
  </r>
  <r>
    <s v="TASK0141"/>
    <s v="Client Presentation"/>
    <s v="Carol White"/>
    <s v="IT"/>
    <d v="2025-09-07T00:00:00"/>
    <d v="2025-09-10T00:00:00"/>
    <d v="2025-09-11T00:00:00"/>
    <s v="Completed"/>
    <x v="2"/>
    <b v="1"/>
    <n v="1"/>
    <n v="4"/>
  </r>
  <r>
    <s v="TASK0142"/>
    <s v="Process Improvement"/>
    <s v="Grace Chen"/>
    <s v="HR"/>
    <d v="2026-02-04T00:00:00"/>
    <d v="2026-03-04T00:00:00"/>
    <d v="2026-03-11T00:00:00"/>
    <s v="Completed"/>
    <x v="0"/>
    <b v="1"/>
    <n v="7"/>
    <n v="5"/>
  </r>
  <r>
    <s v="TASK0143"/>
    <s v="Stakeholder Report"/>
    <s v="Liam Jackson"/>
    <s v="HR"/>
    <d v="2025-06-23T00:00:00"/>
    <d v="2025-07-02T00:00:00"/>
    <d v="2025-07-05T00:00:00"/>
    <s v="Completed"/>
    <x v="0"/>
    <b v="1"/>
    <n v="3"/>
    <n v="4"/>
  </r>
  <r>
    <s v="TASK0144"/>
    <s v="Security Patch"/>
    <s v="Emma Brown"/>
    <s v="Sales"/>
    <d v="2025-04-08T00:00:00"/>
    <d v="2025-04-26T00:00:00"/>
    <d v="2025-04-30T00:00:00"/>
    <s v="Completed"/>
    <x v="1"/>
    <b v="1"/>
    <n v="4"/>
    <n v="10"/>
  </r>
  <r>
    <s v="TASK0145"/>
    <s v="Compliance Audit"/>
    <s v="James Anderson"/>
    <s v="Sales"/>
    <d v="2025-03-21T00:00:00"/>
    <d v="2025-03-28T00:00:00"/>
    <d v="2025-03-29T00:00:00"/>
    <s v="Completed"/>
    <x v="2"/>
    <b v="1"/>
    <n v="1"/>
    <n v="3"/>
  </r>
  <r>
    <s v="TASK0146"/>
    <s v="Dashboard Setup"/>
    <s v="Nathan Clark"/>
    <s v="Operations"/>
    <d v="2025-09-21T00:00:00"/>
    <d v="2025-10-15T00:00:00"/>
    <m/>
    <s v="In Progress"/>
    <x v="2"/>
    <b v="0"/>
    <n v="0"/>
    <n v="3"/>
  </r>
  <r>
    <s v="TASK0147"/>
    <s v="Training Session"/>
    <s v="James Anderson"/>
    <s v="Sales"/>
    <d v="2025-10-31T00:00:00"/>
    <d v="2025-11-09T00:00:00"/>
    <m/>
    <s v="Cancelled"/>
    <x v="0"/>
    <b v="0"/>
    <n v="0"/>
    <n v="5"/>
  </r>
  <r>
    <s v="TASK0148"/>
    <s v="Team Meeting"/>
    <s v="Maria Harris"/>
    <s v="IT"/>
    <d v="2025-03-19T00:00:00"/>
    <d v="2025-04-06T00:00:00"/>
    <m/>
    <s v="Overdue"/>
    <x v="1"/>
    <b v="1"/>
    <n v="7"/>
    <n v="5"/>
  </r>
  <r>
    <s v="TASK0149"/>
    <s v="Product Launch"/>
    <s v="Bob Martinez"/>
    <s v="HR"/>
    <d v="2026-02-25T00:00:00"/>
    <d v="2026-03-11T00:00:00"/>
    <m/>
    <s v="Cancelled"/>
    <x v="0"/>
    <b v="0"/>
    <n v="0"/>
    <n v="8"/>
  </r>
  <r>
    <s v="TASK0150"/>
    <s v="Data Migration"/>
    <s v="Carol White"/>
    <s v="IT"/>
    <d v="2025-01-19T00:00:00"/>
    <d v="2025-01-23T00:00:00"/>
    <d v="2025-01-23T00:00:00"/>
    <s v="Completed"/>
    <x v="1"/>
    <b v="0"/>
    <n v="0"/>
    <n v="1"/>
  </r>
  <r>
    <s v="TASK0151"/>
    <s v="Dashboard Setup"/>
    <s v="Isabella Taylor"/>
    <s v="Operations"/>
    <d v="2025-05-21T00:00:00"/>
    <d v="2025-05-25T00:00:00"/>
    <d v="2025-05-23T00:00:00"/>
    <s v="Completed"/>
    <x v="0"/>
    <b v="0"/>
    <n v="0"/>
    <n v="1"/>
  </r>
  <r>
    <s v="TASK0152"/>
    <s v="Stakeholder Report"/>
    <s v="Maria Harris"/>
    <s v="IT"/>
    <d v="2025-11-11T00:00:00"/>
    <d v="2025-11-26T00:00:00"/>
    <d v="2025-11-26T00:00:00"/>
    <s v="Completed"/>
    <x v="2"/>
    <b v="0"/>
    <n v="0"/>
    <n v="2"/>
  </r>
  <r>
    <s v="TASK0153"/>
    <s v="Team Meeting"/>
    <s v="Olivia Lewis"/>
    <s v="Sales"/>
    <d v="2025-01-01T00:00:00"/>
    <d v="2025-01-11T00:00:00"/>
    <d v="2025-01-10T00:00:00"/>
    <s v="Completed"/>
    <x v="2"/>
    <b v="0"/>
    <n v="0"/>
    <n v="4"/>
  </r>
  <r>
    <s v="TASK0154"/>
    <s v="Data Migration"/>
    <s v="Grace Chen"/>
    <s v="HR"/>
    <d v="2025-08-09T00:00:00"/>
    <d v="2025-08-12T00:00:00"/>
    <d v="2025-08-13T00:00:00"/>
    <s v="Completed"/>
    <x v="3"/>
    <b v="1"/>
    <n v="1"/>
    <n v="9"/>
  </r>
  <r>
    <s v="TASK0155"/>
    <s v="Product Launch"/>
    <s v="Grace Chen"/>
    <s v="HR"/>
    <d v="2025-04-28T00:00:00"/>
    <d v="2025-05-07T00:00:00"/>
    <m/>
    <s v="Overdue"/>
    <x v="0"/>
    <b v="1"/>
    <n v="7"/>
    <n v="5"/>
  </r>
  <r>
    <s v="TASK0156"/>
    <s v="Compliance Audit"/>
    <s v="Isabella Taylor"/>
    <s v="Operations"/>
    <d v="2025-04-13T00:00:00"/>
    <d v="2025-05-06T00:00:00"/>
    <m/>
    <s v="In Progress"/>
    <x v="0"/>
    <b v="0"/>
    <n v="0"/>
    <n v="3"/>
  </r>
  <r>
    <s v="TASK0157"/>
    <s v="Risk Assessment"/>
    <s v="Emma Brown"/>
    <s v="Sales"/>
    <d v="2026-01-24T00:00:00"/>
    <d v="2026-02-15T00:00:00"/>
    <d v="2026-02-14T00:00:00"/>
    <s v="Completed"/>
    <x v="1"/>
    <b v="0"/>
    <n v="0"/>
    <n v="5"/>
  </r>
  <r>
    <s v="TASK0158"/>
    <s v="Code Review"/>
    <s v="Carol White"/>
    <s v="IT"/>
    <d v="2025-02-10T00:00:00"/>
    <d v="2025-02-13T00:00:00"/>
    <d v="2025-02-20T00:00:00"/>
    <s v="Completed"/>
    <x v="3"/>
    <b v="1"/>
    <n v="7"/>
    <n v="1"/>
  </r>
  <r>
    <s v="TASK0159"/>
    <s v="Contract Negotiation"/>
    <s v="Carol White"/>
    <s v="IT"/>
    <d v="2025-08-02T00:00:00"/>
    <d v="2025-08-11T00:00:00"/>
    <d v="2025-08-09T00:00:00"/>
    <s v="Completed"/>
    <x v="3"/>
    <b v="0"/>
    <n v="0"/>
    <n v="8"/>
  </r>
  <r>
    <s v="TASK0160"/>
    <s v="Quarterly Report"/>
    <s v="Isabella Taylor"/>
    <s v="Operations"/>
    <d v="2025-05-07T00:00:00"/>
    <d v="2025-06-02T00:00:00"/>
    <m/>
    <s v="Overdue"/>
    <x v="0"/>
    <b v="1"/>
    <n v="11"/>
    <n v="5"/>
  </r>
  <r>
    <s v="TASK0161"/>
    <s v="Stakeholder Report"/>
    <s v="James Anderson"/>
    <s v="Sales"/>
    <d v="2025-05-12T00:00:00"/>
    <d v="2025-05-21T00:00:00"/>
    <m/>
    <s v="Overdue"/>
    <x v="2"/>
    <b v="1"/>
    <n v="5"/>
    <n v="10"/>
  </r>
  <r>
    <s v="TASK0162"/>
    <s v="Market Analysis"/>
    <s v="Nathan Clark"/>
    <s v="Operations"/>
    <d v="2025-02-05T00:00:00"/>
    <d v="2025-02-17T00:00:00"/>
    <m/>
    <s v="In Progress"/>
    <x v="0"/>
    <b v="0"/>
    <n v="0"/>
    <n v="10"/>
  </r>
  <r>
    <s v="TASK0163"/>
    <s v="System Upgrade"/>
    <s v="Liam Jackson"/>
    <s v="HR"/>
    <d v="2025-09-28T00:00:00"/>
    <d v="2025-10-09T00:00:00"/>
    <m/>
    <s v="Overdue"/>
    <x v="2"/>
    <b v="1"/>
    <n v="5"/>
    <n v="9"/>
  </r>
  <r>
    <s v="TASK0164"/>
    <s v="Stakeholder Report"/>
    <s v="Henry Davis"/>
    <s v="IT"/>
    <d v="2025-01-14T00:00:00"/>
    <d v="2025-02-05T00:00:00"/>
    <d v="2025-02-06T00:00:00"/>
    <s v="Completed"/>
    <x v="2"/>
    <b v="1"/>
    <n v="1"/>
    <n v="5"/>
  </r>
  <r>
    <s v="TASK0165"/>
    <s v="Policy Update"/>
    <s v="Frank Wilson"/>
    <s v="Finance"/>
    <d v="2025-11-15T00:00:00"/>
    <d v="2025-11-26T00:00:00"/>
    <m/>
    <s v="In Progress"/>
    <x v="2"/>
    <b v="0"/>
    <n v="0"/>
    <n v="1"/>
  </r>
  <r>
    <s v="TASK0166"/>
    <s v="Training Session"/>
    <s v="Liam Jackson"/>
    <s v="HR"/>
    <d v="2025-04-17T00:00:00"/>
    <d v="2025-04-23T00:00:00"/>
    <m/>
    <s v="Overdue"/>
    <x v="2"/>
    <b v="1"/>
    <n v="15"/>
    <n v="2"/>
  </r>
  <r>
    <s v="TASK0167"/>
    <s v="Product Launch"/>
    <s v="Carol White"/>
    <s v="IT"/>
    <d v="2025-02-24T00:00:00"/>
    <d v="2025-03-25T00:00:00"/>
    <d v="2025-03-25T00:00:00"/>
    <s v="Completed"/>
    <x v="0"/>
    <b v="0"/>
    <n v="0"/>
    <n v="8"/>
  </r>
  <r>
    <s v="TASK0168"/>
    <s v="Training Session"/>
    <s v="Alice Johnson"/>
    <s v="Finance"/>
    <d v="2025-06-24T00:00:00"/>
    <d v="2025-06-30T00:00:00"/>
    <m/>
    <s v="Cancelled"/>
    <x v="3"/>
    <b v="0"/>
    <n v="0"/>
    <n v="6"/>
  </r>
  <r>
    <s v="TASK0169"/>
    <s v="Team Meeting"/>
    <s v="Isabella Taylor"/>
    <s v="Operations"/>
    <d v="2025-10-07T00:00:00"/>
    <d v="2025-10-14T00:00:00"/>
    <d v="2025-10-14T00:00:00"/>
    <s v="Completed"/>
    <x v="1"/>
    <b v="0"/>
    <n v="0"/>
    <n v="9"/>
  </r>
  <r>
    <s v="TASK0170"/>
    <s v="Compliance Audit"/>
    <s v="Karen Thomas"/>
    <s v="Finance"/>
    <d v="2025-10-26T00:00:00"/>
    <d v="2025-11-24T00:00:00"/>
    <d v="2025-11-30T00:00:00"/>
    <s v="Completed"/>
    <x v="0"/>
    <b v="1"/>
    <n v="6"/>
    <n v="1"/>
  </r>
  <r>
    <s v="TASK0171"/>
    <s v="Policy Update"/>
    <s v="Carol White"/>
    <s v="IT"/>
    <d v="2026-01-29T00:00:00"/>
    <d v="2026-02-23T00:00:00"/>
    <d v="2026-02-23T00:00:00"/>
    <s v="Completed"/>
    <x v="0"/>
    <b v="0"/>
    <n v="0"/>
    <n v="1"/>
  </r>
  <r>
    <s v="TASK0172"/>
    <s v="Dashboard Setup"/>
    <s v="James Anderson"/>
    <s v="Sales"/>
    <d v="2025-11-01T00:00:00"/>
    <d v="2025-11-18T00:00:00"/>
    <d v="2025-11-23T00:00:00"/>
    <s v="Completed"/>
    <x v="0"/>
    <b v="1"/>
    <n v="5"/>
    <n v="7"/>
  </r>
  <r>
    <s v="TASK0173"/>
    <s v="System Upgrade"/>
    <s v="Liam Jackson"/>
    <s v="HR"/>
    <d v="2025-07-08T00:00:00"/>
    <d v="2025-08-04T00:00:00"/>
    <m/>
    <s v="Cancelled"/>
    <x v="0"/>
    <b v="0"/>
    <n v="0"/>
    <n v="6"/>
  </r>
  <r>
    <s v="TASK0174"/>
    <s v="Product Launch"/>
    <s v="Henry Davis"/>
    <s v="IT"/>
    <d v="2025-07-12T00:00:00"/>
    <d v="2025-07-26T00:00:00"/>
    <m/>
    <s v="Overdue"/>
    <x v="3"/>
    <b v="1"/>
    <n v="18"/>
    <n v="4"/>
  </r>
  <r>
    <s v="TASK0175"/>
    <s v="Vendor Evaluation"/>
    <s v="Bob Martinez"/>
    <s v="HR"/>
    <d v="2025-07-30T00:00:00"/>
    <d v="2025-08-06T00:00:00"/>
    <d v="2025-08-07T00:00:00"/>
    <s v="Completed"/>
    <x v="1"/>
    <b v="1"/>
    <n v="1"/>
    <n v="2"/>
  </r>
  <r>
    <s v="TASK0176"/>
    <s v="Stakeholder Report"/>
    <s v="Olivia Lewis"/>
    <s v="Sales"/>
    <d v="2026-03-19T00:00:00"/>
    <d v="2026-04-15T00:00:00"/>
    <d v="2026-04-15T00:00:00"/>
    <s v="Completed"/>
    <x v="2"/>
    <b v="0"/>
    <n v="0"/>
    <n v="10"/>
  </r>
  <r>
    <s v="TASK0177"/>
    <s v="Stakeholder Report"/>
    <s v="David Lee"/>
    <s v="Operations"/>
    <d v="2025-10-18T00:00:00"/>
    <d v="2025-10-31T00:00:00"/>
    <m/>
    <s v="Overdue"/>
    <x v="0"/>
    <b v="1"/>
    <n v="8"/>
    <n v="7"/>
  </r>
  <r>
    <s v="TASK0178"/>
    <s v="Dashboard Setup"/>
    <s v="Henry Davis"/>
    <s v="IT"/>
    <d v="2026-03-04T00:00:00"/>
    <d v="2026-03-22T00:00:00"/>
    <m/>
    <s v="Overdue"/>
    <x v="0"/>
    <b v="1"/>
    <n v="9"/>
    <n v="6"/>
  </r>
  <r>
    <s v="TASK0179"/>
    <s v="Dashboard Setup"/>
    <s v="Bob Martinez"/>
    <s v="HR"/>
    <d v="2025-08-15T00:00:00"/>
    <d v="2025-08-20T00:00:00"/>
    <m/>
    <s v="Overdue"/>
    <x v="1"/>
    <b v="1"/>
    <n v="1"/>
    <n v="9"/>
  </r>
  <r>
    <s v="TASK0180"/>
    <s v="Market Analysis"/>
    <s v="David Lee"/>
    <s v="Operations"/>
    <d v="2026-03-21T00:00:00"/>
    <d v="2026-04-03T00:00:00"/>
    <d v="2026-04-09T00:00:00"/>
    <s v="Completed"/>
    <x v="0"/>
    <b v="1"/>
    <n v="6"/>
    <n v="3"/>
  </r>
  <r>
    <s v="TASK0181"/>
    <s v="Compliance Audit"/>
    <s v="Karen Thomas"/>
    <s v="Finance"/>
    <d v="2025-06-06T00:00:00"/>
    <d v="2025-06-25T00:00:00"/>
    <d v="2025-06-28T00:00:00"/>
    <s v="Completed"/>
    <x v="1"/>
    <b v="1"/>
    <n v="3"/>
    <n v="7"/>
  </r>
  <r>
    <s v="TASK0182"/>
    <s v="Code Review"/>
    <s v="Isabella Taylor"/>
    <s v="Operations"/>
    <d v="2025-08-15T00:00:00"/>
    <d v="2025-08-30T00:00:00"/>
    <m/>
    <s v="In Progress"/>
    <x v="0"/>
    <b v="0"/>
    <n v="0"/>
    <n v="6"/>
  </r>
  <r>
    <s v="TASK0183"/>
    <s v="Dashboard Setup"/>
    <s v="Bob Martinez"/>
    <s v="HR"/>
    <d v="2025-02-28T00:00:00"/>
    <d v="2025-03-11T00:00:00"/>
    <d v="2025-03-10T00:00:00"/>
    <s v="Completed"/>
    <x v="2"/>
    <b v="0"/>
    <n v="0"/>
    <n v="2"/>
  </r>
  <r>
    <s v="TASK0184"/>
    <s v="Security Patch"/>
    <s v="Emma Brown"/>
    <s v="Sales"/>
    <d v="2025-04-20T00:00:00"/>
    <d v="2025-04-28T00:00:00"/>
    <m/>
    <s v="Cancelled"/>
    <x v="2"/>
    <b v="0"/>
    <n v="0"/>
    <n v="7"/>
  </r>
  <r>
    <s v="TASK0185"/>
    <s v="Data Migration"/>
    <s v="Bob Martinez"/>
    <s v="HR"/>
    <d v="2025-08-04T00:00:00"/>
    <d v="2025-08-12T00:00:00"/>
    <m/>
    <s v="Overdue"/>
    <x v="0"/>
    <b v="1"/>
    <n v="19"/>
    <n v="4"/>
  </r>
  <r>
    <s v="TASK0186"/>
    <s v="Data Migration"/>
    <s v="Carol White"/>
    <s v="IT"/>
    <d v="2025-02-27T00:00:00"/>
    <d v="2025-03-03T00:00:00"/>
    <d v="2025-03-01T00:00:00"/>
    <s v="Completed"/>
    <x v="0"/>
    <b v="0"/>
    <n v="0"/>
    <n v="5"/>
  </r>
  <r>
    <s v="TASK0187"/>
    <s v="Risk Assessment"/>
    <s v="Henry Davis"/>
    <s v="IT"/>
    <d v="2026-02-02T00:00:00"/>
    <d v="2026-02-07T00:00:00"/>
    <m/>
    <s v="In Progress"/>
    <x v="1"/>
    <b v="0"/>
    <n v="0"/>
    <n v="7"/>
  </r>
  <r>
    <s v="TASK0188"/>
    <s v="Compliance Audit"/>
    <s v="David Lee"/>
    <s v="Operations"/>
    <d v="2026-01-30T00:00:00"/>
    <d v="2026-02-22T00:00:00"/>
    <m/>
    <s v="Overdue"/>
    <x v="2"/>
    <b v="1"/>
    <n v="18"/>
    <n v="3"/>
  </r>
  <r>
    <s v="TASK0189"/>
    <s v="Training Session"/>
    <s v="Bob Martinez"/>
    <s v="HR"/>
    <d v="2025-02-02T00:00:00"/>
    <d v="2025-02-16T00:00:00"/>
    <m/>
    <s v="Cancelled"/>
    <x v="1"/>
    <b v="0"/>
    <n v="0"/>
    <n v="10"/>
  </r>
  <r>
    <s v="TASK0190"/>
    <s v="Budget Review"/>
    <s v="Carol White"/>
    <s v="IT"/>
    <d v="2026-01-03T00:00:00"/>
    <d v="2026-01-28T00:00:00"/>
    <m/>
    <s v="In Progress"/>
    <x v="2"/>
    <b v="0"/>
    <n v="0"/>
    <n v="5"/>
  </r>
  <r>
    <s v="TASK0191"/>
    <s v="Budget Review"/>
    <s v="Liam Jackson"/>
    <s v="HR"/>
    <d v="2025-04-24T00:00:00"/>
    <d v="2025-05-09T00:00:00"/>
    <d v="2025-05-08T00:00:00"/>
    <s v="Completed"/>
    <x v="0"/>
    <b v="0"/>
    <n v="0"/>
    <n v="7"/>
  </r>
  <r>
    <s v="TASK0192"/>
    <s v="Security Patch"/>
    <s v="Bob Martinez"/>
    <s v="HR"/>
    <d v="2025-05-14T00:00:00"/>
    <d v="2025-06-08T00:00:00"/>
    <m/>
    <s v="Overdue"/>
    <x v="0"/>
    <b v="1"/>
    <n v="8"/>
    <n v="9"/>
  </r>
  <r>
    <s v="TASK0193"/>
    <s v="Quarterly Report"/>
    <s v="Maria Harris"/>
    <s v="IT"/>
    <d v="2025-04-04T00:00:00"/>
    <d v="2025-04-23T00:00:00"/>
    <m/>
    <s v="Overdue"/>
    <x v="0"/>
    <b v="1"/>
    <n v="18"/>
    <n v="5"/>
  </r>
  <r>
    <s v="TASK0194"/>
    <s v="Performance Review"/>
    <s v="Grace Chen"/>
    <s v="HR"/>
    <d v="2025-04-30T00:00:00"/>
    <d v="2025-05-07T00:00:00"/>
    <d v="2025-05-13T00:00:00"/>
    <s v="Completed"/>
    <x v="1"/>
    <b v="1"/>
    <n v="6"/>
    <n v="2"/>
  </r>
  <r>
    <s v="TASK0195"/>
    <s v="Team Meeting"/>
    <s v="James Anderson"/>
    <s v="Sales"/>
    <d v="2025-04-21T00:00:00"/>
    <d v="2025-05-17T00:00:00"/>
    <d v="2025-05-22T00:00:00"/>
    <s v="Completed"/>
    <x v="0"/>
    <b v="1"/>
    <n v="5"/>
    <n v="2"/>
  </r>
  <r>
    <s v="TASK0196"/>
    <s v="Product Launch"/>
    <s v="Carol White"/>
    <s v="IT"/>
    <d v="2025-08-27T00:00:00"/>
    <d v="2025-09-18T00:00:00"/>
    <d v="2025-09-18T00:00:00"/>
    <s v="Completed"/>
    <x v="1"/>
    <b v="0"/>
    <n v="0"/>
    <n v="9"/>
  </r>
  <r>
    <s v="TASK0197"/>
    <s v="Budget Review"/>
    <s v="Emma Brown"/>
    <s v="Sales"/>
    <d v="2026-02-04T00:00:00"/>
    <d v="2026-02-07T00:00:00"/>
    <m/>
    <s v="Cancelled"/>
    <x v="2"/>
    <b v="0"/>
    <n v="0"/>
    <n v="3"/>
  </r>
  <r>
    <s v="TASK0198"/>
    <s v="Product Launch"/>
    <s v="Liam Jackson"/>
    <s v="HR"/>
    <d v="2025-06-26T00:00:00"/>
    <d v="2025-07-13T00:00:00"/>
    <d v="2025-07-19T00:00:00"/>
    <s v="Completed"/>
    <x v="0"/>
    <b v="1"/>
    <n v="6"/>
    <n v="5"/>
  </r>
  <r>
    <s v="TASK0199"/>
    <s v="Market Analysis"/>
    <s v="Grace Chen"/>
    <s v="HR"/>
    <d v="2025-02-10T00:00:00"/>
    <d v="2025-02-26T00:00:00"/>
    <d v="2025-03-04T00:00:00"/>
    <s v="Completed"/>
    <x v="2"/>
    <b v="1"/>
    <n v="6"/>
    <n v="2"/>
  </r>
  <r>
    <s v="TASK0200"/>
    <s v="Client Presentation"/>
    <s v="Olivia Lewis"/>
    <s v="Sales"/>
    <d v="2025-03-15T00:00:00"/>
    <d v="2025-03-24T00:00:00"/>
    <m/>
    <s v="In Progress"/>
    <x v="2"/>
    <b v="0"/>
    <n v="0"/>
    <n v="10"/>
  </r>
  <r>
    <s v="TASK0201"/>
    <s v="Quarterly Report"/>
    <s v="Nathan Clark"/>
    <s v="Operations"/>
    <d v="2025-05-25T00:00:00"/>
    <d v="2025-06-21T00:00:00"/>
    <m/>
    <s v="Cancelled"/>
    <x v="2"/>
    <b v="0"/>
    <n v="0"/>
    <n v="1"/>
  </r>
  <r>
    <s v="TASK0202"/>
    <s v="Product Launch"/>
    <s v="James Anderson"/>
    <s v="Sales"/>
    <d v="2025-10-25T00:00:00"/>
    <d v="2025-11-02T00:00:00"/>
    <d v="2025-11-08T00:00:00"/>
    <s v="Completed"/>
    <x v="0"/>
    <b v="1"/>
    <n v="6"/>
    <n v="6"/>
  </r>
  <r>
    <s v="TASK0203"/>
    <s v="Risk Assessment"/>
    <s v="Olivia Lewis"/>
    <s v="Sales"/>
    <d v="2026-01-13T00:00:00"/>
    <d v="2026-01-20T00:00:00"/>
    <m/>
    <s v="Overdue"/>
    <x v="1"/>
    <b v="1"/>
    <n v="16"/>
    <n v="4"/>
  </r>
  <r>
    <s v="TASK0204"/>
    <s v="Compliance Audit"/>
    <s v="Nathan Clark"/>
    <s v="Operations"/>
    <d v="2025-01-26T00:00:00"/>
    <d v="2025-02-19T00:00:00"/>
    <d v="2025-02-23T00:00:00"/>
    <s v="Completed"/>
    <x v="2"/>
    <b v="1"/>
    <n v="4"/>
    <n v="10"/>
  </r>
  <r>
    <s v="TASK0205"/>
    <s v="Client Presentation"/>
    <s v="James Anderson"/>
    <s v="Sales"/>
    <d v="2025-04-05T00:00:00"/>
    <d v="2025-05-02T00:00:00"/>
    <m/>
    <s v="Overdue"/>
    <x v="0"/>
    <b v="1"/>
    <n v="11"/>
    <n v="9"/>
  </r>
  <r>
    <s v="TASK0206"/>
    <s v="Market Analysis"/>
    <s v="Grace Chen"/>
    <s v="HR"/>
    <d v="2025-05-07T00:00:00"/>
    <d v="2025-05-17T00:00:00"/>
    <d v="2025-05-23T00:00:00"/>
    <s v="Completed"/>
    <x v="0"/>
    <b v="1"/>
    <n v="6"/>
    <n v="6"/>
  </r>
  <r>
    <s v="TASK0207"/>
    <s v="Team Meeting"/>
    <s v="Alice Johnson"/>
    <s v="Finance"/>
    <d v="2025-12-21T00:00:00"/>
    <d v="2026-01-10T00:00:00"/>
    <d v="2026-01-12T00:00:00"/>
    <s v="Completed"/>
    <x v="0"/>
    <b v="1"/>
    <n v="2"/>
    <n v="5"/>
  </r>
  <r>
    <s v="TASK0208"/>
    <s v="Security Patch"/>
    <s v="Frank Wilson"/>
    <s v="Finance"/>
    <d v="2025-11-20T00:00:00"/>
    <d v="2025-12-05T00:00:00"/>
    <d v="2025-12-06T00:00:00"/>
    <s v="Completed"/>
    <x v="1"/>
    <b v="1"/>
    <n v="1"/>
    <n v="5"/>
  </r>
  <r>
    <s v="TASK0209"/>
    <s v="Market Analysis"/>
    <s v="James Anderson"/>
    <s v="Sales"/>
    <d v="2025-08-25T00:00:00"/>
    <d v="2025-09-06T00:00:00"/>
    <d v="2025-09-09T00:00:00"/>
    <s v="Completed"/>
    <x v="0"/>
    <b v="1"/>
    <n v="3"/>
    <n v="7"/>
  </r>
  <r>
    <s v="TASK0210"/>
    <s v="Quarterly Report"/>
    <s v="Carol White"/>
    <s v="IT"/>
    <d v="2026-03-21T00:00:00"/>
    <d v="2026-04-05T00:00:00"/>
    <m/>
    <s v="Overdue"/>
    <x v="0"/>
    <b v="1"/>
    <n v="6"/>
    <n v="6"/>
  </r>
  <r>
    <s v="TASK0211"/>
    <s v="Product Launch"/>
    <s v="Nathan Clark"/>
    <s v="Operations"/>
    <d v="2025-12-04T00:00:00"/>
    <d v="2025-12-24T00:00:00"/>
    <m/>
    <s v="Cancelled"/>
    <x v="0"/>
    <b v="0"/>
    <n v="0"/>
    <n v="5"/>
  </r>
  <r>
    <s v="TASK0212"/>
    <s v="Security Patch"/>
    <s v="Carol White"/>
    <s v="IT"/>
    <d v="2025-11-29T00:00:00"/>
    <d v="2025-12-12T00:00:00"/>
    <d v="2025-12-14T00:00:00"/>
    <s v="Completed"/>
    <x v="1"/>
    <b v="1"/>
    <n v="2"/>
    <n v="4"/>
  </r>
  <r>
    <s v="TASK0213"/>
    <s v="Security Patch"/>
    <s v="Nathan Clark"/>
    <s v="Operations"/>
    <d v="2026-02-13T00:00:00"/>
    <d v="2026-02-24T00:00:00"/>
    <d v="2026-02-26T00:00:00"/>
    <s v="Completed"/>
    <x v="0"/>
    <b v="1"/>
    <n v="2"/>
    <n v="6"/>
  </r>
  <r>
    <s v="TASK0214"/>
    <s v="Risk Assessment"/>
    <s v="Carol White"/>
    <s v="IT"/>
    <d v="2025-07-18T00:00:00"/>
    <d v="2025-07-27T00:00:00"/>
    <d v="2025-07-26T00:00:00"/>
    <s v="Completed"/>
    <x v="2"/>
    <b v="0"/>
    <n v="0"/>
    <n v="7"/>
  </r>
  <r>
    <s v="TASK0215"/>
    <s v="Security Patch"/>
    <s v="Maria Harris"/>
    <s v="IT"/>
    <d v="2025-10-26T00:00:00"/>
    <d v="2025-11-06T00:00:00"/>
    <m/>
    <s v="In Progress"/>
    <x v="0"/>
    <b v="0"/>
    <n v="0"/>
    <n v="1"/>
  </r>
  <r>
    <s v="TASK0216"/>
    <s v="Dashboard Setup"/>
    <s v="Alice Johnson"/>
    <s v="Finance"/>
    <d v="2026-02-27T00:00:00"/>
    <d v="2026-03-25T00:00:00"/>
    <d v="2026-03-30T00:00:00"/>
    <s v="Completed"/>
    <x v="2"/>
    <b v="1"/>
    <n v="5"/>
    <n v="2"/>
  </r>
  <r>
    <s v="TASK0217"/>
    <s v="Data Migration"/>
    <s v="David Lee"/>
    <s v="Operations"/>
    <d v="2025-12-11T00:00:00"/>
    <d v="2025-12-17T00:00:00"/>
    <d v="2025-12-17T00:00:00"/>
    <s v="Completed"/>
    <x v="0"/>
    <b v="0"/>
    <n v="0"/>
    <n v="9"/>
  </r>
  <r>
    <s v="TASK0218"/>
    <s v="Client Presentation"/>
    <s v="Emma Brown"/>
    <s v="Sales"/>
    <d v="2026-03-09T00:00:00"/>
    <d v="2026-03-26T00:00:00"/>
    <m/>
    <s v="Cancelled"/>
    <x v="0"/>
    <b v="0"/>
    <n v="0"/>
    <n v="8"/>
  </r>
  <r>
    <s v="TASK0219"/>
    <s v="Security Patch"/>
    <s v="Isabella Taylor"/>
    <s v="Operations"/>
    <d v="2025-04-25T00:00:00"/>
    <d v="2025-05-06T00:00:00"/>
    <m/>
    <s v="In Progress"/>
    <x v="1"/>
    <b v="0"/>
    <n v="0"/>
    <n v="8"/>
  </r>
  <r>
    <s v="TASK0220"/>
    <s v="Performance Review"/>
    <s v="James Anderson"/>
    <s v="Sales"/>
    <d v="2025-07-18T00:00:00"/>
    <d v="2025-08-08T00:00:00"/>
    <m/>
    <s v="Cancelled"/>
    <x v="2"/>
    <b v="0"/>
    <n v="0"/>
    <n v="6"/>
  </r>
  <r>
    <s v="TASK0221"/>
    <s v="Market Analysis"/>
    <s v="Isabella Taylor"/>
    <s v="Operations"/>
    <d v="2025-10-02T00:00:00"/>
    <d v="2025-10-14T00:00:00"/>
    <m/>
    <s v="Overdue"/>
    <x v="0"/>
    <b v="1"/>
    <n v="9"/>
    <n v="1"/>
  </r>
  <r>
    <s v="TASK0222"/>
    <s v="Stakeholder Report"/>
    <s v="Carol White"/>
    <s v="IT"/>
    <d v="2025-09-03T00:00:00"/>
    <d v="2025-09-25T00:00:00"/>
    <d v="2025-09-27T00:00:00"/>
    <s v="Completed"/>
    <x v="1"/>
    <b v="1"/>
    <n v="2"/>
    <n v="10"/>
  </r>
  <r>
    <s v="TASK0223"/>
    <s v="Process Improvement"/>
    <s v="Grace Chen"/>
    <s v="HR"/>
    <d v="2026-02-15T00:00:00"/>
    <d v="2026-03-15T00:00:00"/>
    <d v="2026-03-22T00:00:00"/>
    <s v="Completed"/>
    <x v="2"/>
    <b v="1"/>
    <n v="7"/>
    <n v="7"/>
  </r>
  <r>
    <s v="TASK0224"/>
    <s v="Market Analysis"/>
    <s v="Emma Brown"/>
    <s v="Sales"/>
    <d v="2025-12-11T00:00:00"/>
    <d v="2025-12-20T00:00:00"/>
    <m/>
    <s v="Overdue"/>
    <x v="1"/>
    <b v="1"/>
    <n v="15"/>
    <n v="9"/>
  </r>
  <r>
    <s v="TASK0225"/>
    <s v="Contract Negotiation"/>
    <s v="Bob Martinez"/>
    <s v="HR"/>
    <d v="2025-10-18T00:00:00"/>
    <d v="2025-11-07T00:00:00"/>
    <d v="2025-11-07T00:00:00"/>
    <s v="Completed"/>
    <x v="0"/>
    <b v="0"/>
    <n v="0"/>
    <n v="5"/>
  </r>
  <r>
    <s v="TASK0226"/>
    <s v="Data Migration"/>
    <s v="Emma Brown"/>
    <s v="Sales"/>
    <d v="2025-04-09T00:00:00"/>
    <d v="2025-04-29T00:00:00"/>
    <d v="2025-05-05T00:00:00"/>
    <s v="Completed"/>
    <x v="0"/>
    <b v="1"/>
    <n v="6"/>
    <n v="3"/>
  </r>
  <r>
    <s v="TASK0227"/>
    <s v="Quarterly Report"/>
    <s v="Emma Brown"/>
    <s v="Sales"/>
    <d v="2025-06-01T00:00:00"/>
    <d v="2025-06-16T00:00:00"/>
    <d v="2025-06-21T00:00:00"/>
    <s v="Completed"/>
    <x v="2"/>
    <b v="1"/>
    <n v="5"/>
    <n v="9"/>
  </r>
  <r>
    <s v="TASK0228"/>
    <s v="Contract Negotiation"/>
    <s v="Carol White"/>
    <s v="IT"/>
    <d v="2025-02-22T00:00:00"/>
    <d v="2025-02-28T00:00:00"/>
    <m/>
    <s v="Overdue"/>
    <x v="2"/>
    <b v="1"/>
    <n v="8"/>
    <n v="9"/>
  </r>
  <r>
    <s v="TASK0229"/>
    <s v="Quarterly Report"/>
    <s v="Grace Chen"/>
    <s v="HR"/>
    <d v="2025-07-10T00:00:00"/>
    <d v="2025-07-23T00:00:00"/>
    <d v="2025-07-27T00:00:00"/>
    <s v="Completed"/>
    <x v="2"/>
    <b v="1"/>
    <n v="4"/>
    <n v="10"/>
  </r>
  <r>
    <s v="TASK0230"/>
    <s v="Code Review"/>
    <s v="Nathan Clark"/>
    <s v="Operations"/>
    <d v="2025-03-04T00:00:00"/>
    <d v="2025-03-22T00:00:00"/>
    <d v="2025-03-27T00:00:00"/>
    <s v="Completed"/>
    <x v="1"/>
    <b v="1"/>
    <n v="5"/>
    <n v="10"/>
  </r>
  <r>
    <s v="TASK0231"/>
    <s v="Risk Assessment"/>
    <s v="David Lee"/>
    <s v="Operations"/>
    <d v="2025-02-20T00:00:00"/>
    <d v="2025-03-14T00:00:00"/>
    <m/>
    <s v="In Progress"/>
    <x v="1"/>
    <b v="0"/>
    <n v="0"/>
    <n v="3"/>
  </r>
  <r>
    <s v="TASK0232"/>
    <s v="Training Session"/>
    <s v="Maria Harris"/>
    <s v="IT"/>
    <d v="2025-04-20T00:00:00"/>
    <d v="2025-05-06T00:00:00"/>
    <d v="2025-05-06T00:00:00"/>
    <s v="Completed"/>
    <x v="2"/>
    <b v="0"/>
    <n v="0"/>
    <n v="6"/>
  </r>
  <r>
    <s v="TASK0233"/>
    <s v="Market Analysis"/>
    <s v="Karen Thomas"/>
    <s v="Finance"/>
    <d v="2025-01-15T00:00:00"/>
    <d v="2025-01-31T00:00:00"/>
    <m/>
    <s v="Cancelled"/>
    <x v="0"/>
    <b v="0"/>
    <n v="0"/>
    <n v="1"/>
  </r>
  <r>
    <s v="TASK0234"/>
    <s v="Compliance Audit"/>
    <s v="Bob Martinez"/>
    <s v="HR"/>
    <d v="2025-05-24T00:00:00"/>
    <d v="2025-06-04T00:00:00"/>
    <m/>
    <s v="Cancelled"/>
    <x v="0"/>
    <b v="0"/>
    <n v="0"/>
    <n v="1"/>
  </r>
  <r>
    <s v="TASK0235"/>
    <s v="Vendor Evaluation"/>
    <s v="Grace Chen"/>
    <s v="HR"/>
    <d v="2025-12-10T00:00:00"/>
    <d v="2025-12-22T00:00:00"/>
    <d v="2025-12-23T00:00:00"/>
    <s v="Completed"/>
    <x v="0"/>
    <b v="1"/>
    <n v="1"/>
    <n v="4"/>
  </r>
  <r>
    <s v="TASK0236"/>
    <s v="Process Improvement"/>
    <s v="Liam Jackson"/>
    <s v="HR"/>
    <d v="2025-06-27T00:00:00"/>
    <d v="2025-07-08T00:00:00"/>
    <m/>
    <s v="Overdue"/>
    <x v="1"/>
    <b v="1"/>
    <n v="5"/>
    <n v="10"/>
  </r>
  <r>
    <s v="TASK0237"/>
    <s v="Stakeholder Report"/>
    <s v="Liam Jackson"/>
    <s v="HR"/>
    <d v="2025-05-01T00:00:00"/>
    <d v="2025-05-07T00:00:00"/>
    <d v="2025-05-10T00:00:00"/>
    <s v="Completed"/>
    <x v="1"/>
    <b v="1"/>
    <n v="3"/>
    <n v="3"/>
  </r>
  <r>
    <s v="TASK0238"/>
    <s v="Product Launch"/>
    <s v="Nathan Clark"/>
    <s v="Operations"/>
    <d v="2025-05-07T00:00:00"/>
    <d v="2025-05-11T00:00:00"/>
    <d v="2025-05-14T00:00:00"/>
    <s v="Completed"/>
    <x v="3"/>
    <b v="1"/>
    <n v="3"/>
    <n v="4"/>
  </r>
  <r>
    <s v="TASK0239"/>
    <s v="Dashboard Setup"/>
    <s v="Alice Johnson"/>
    <s v="Finance"/>
    <d v="2025-02-14T00:00:00"/>
    <d v="2025-02-17T00:00:00"/>
    <d v="2025-02-18T00:00:00"/>
    <s v="Completed"/>
    <x v="3"/>
    <b v="1"/>
    <n v="1"/>
    <n v="9"/>
  </r>
  <r>
    <s v="TASK0240"/>
    <s v="System Upgrade"/>
    <s v="James Anderson"/>
    <s v="Sales"/>
    <d v="2025-01-30T00:00:00"/>
    <d v="2025-02-25T00:00:00"/>
    <d v="2025-02-25T00:00:00"/>
    <s v="Completed"/>
    <x v="1"/>
    <b v="0"/>
    <n v="0"/>
    <n v="1"/>
  </r>
  <r>
    <s v="TASK0241"/>
    <s v="Budget Review"/>
    <s v="Maria Harris"/>
    <s v="IT"/>
    <d v="2025-07-10T00:00:00"/>
    <d v="2025-07-23T00:00:00"/>
    <m/>
    <s v="Overdue"/>
    <x v="0"/>
    <b v="1"/>
    <n v="11"/>
    <n v="1"/>
  </r>
  <r>
    <s v="TASK0242"/>
    <s v="Product Launch"/>
    <s v="Liam Jackson"/>
    <s v="HR"/>
    <d v="2025-08-31T00:00:00"/>
    <d v="2025-09-23T00:00:00"/>
    <m/>
    <s v="Overdue"/>
    <x v="2"/>
    <b v="1"/>
    <n v="14"/>
    <n v="3"/>
  </r>
  <r>
    <s v="TASK0243"/>
    <s v="Client Presentation"/>
    <s v="Grace Chen"/>
    <s v="HR"/>
    <d v="2025-10-19T00:00:00"/>
    <d v="2025-11-11T00:00:00"/>
    <d v="2025-11-18T00:00:00"/>
    <s v="Completed"/>
    <x v="2"/>
    <b v="1"/>
    <n v="7"/>
    <n v="7"/>
  </r>
  <r>
    <s v="TASK0244"/>
    <s v="Team Meeting"/>
    <s v="Bob Martinez"/>
    <s v="HR"/>
    <d v="2025-01-20T00:00:00"/>
    <d v="2025-02-14T00:00:00"/>
    <d v="2025-02-12T00:00:00"/>
    <s v="Completed"/>
    <x v="3"/>
    <b v="0"/>
    <n v="0"/>
    <n v="2"/>
  </r>
  <r>
    <s v="TASK0245"/>
    <s v="Vendor Evaluation"/>
    <s v="Frank Wilson"/>
    <s v="Finance"/>
    <d v="2025-03-22T00:00:00"/>
    <d v="2025-04-06T00:00:00"/>
    <d v="2025-04-13T00:00:00"/>
    <s v="Completed"/>
    <x v="1"/>
    <b v="1"/>
    <n v="7"/>
    <n v="10"/>
  </r>
  <r>
    <s v="TASK0246"/>
    <s v="Stakeholder Report"/>
    <s v="Frank Wilson"/>
    <s v="Finance"/>
    <d v="2025-07-24T00:00:00"/>
    <d v="2025-08-01T00:00:00"/>
    <m/>
    <s v="Cancelled"/>
    <x v="1"/>
    <b v="0"/>
    <n v="0"/>
    <n v="10"/>
  </r>
  <r>
    <s v="TASK0247"/>
    <s v="Data Migration"/>
    <s v="James Anderson"/>
    <s v="Sales"/>
    <d v="2025-11-27T00:00:00"/>
    <d v="2025-11-30T00:00:00"/>
    <d v="2025-12-03T00:00:00"/>
    <s v="Completed"/>
    <x v="0"/>
    <b v="1"/>
    <n v="3"/>
    <n v="3"/>
  </r>
  <r>
    <s v="TASK0248"/>
    <s v="Risk Assessment"/>
    <s v="Liam Jackson"/>
    <s v="HR"/>
    <d v="2025-01-12T00:00:00"/>
    <d v="2025-01-29T00:00:00"/>
    <m/>
    <s v="In Progress"/>
    <x v="1"/>
    <b v="0"/>
    <n v="0"/>
    <n v="6"/>
  </r>
  <r>
    <s v="TASK0249"/>
    <s v="Data Migration"/>
    <s v="Alice Johnson"/>
    <s v="Finance"/>
    <d v="2025-05-10T00:00:00"/>
    <d v="2025-05-24T00:00:00"/>
    <d v="2025-05-24T00:00:00"/>
    <s v="Completed"/>
    <x v="0"/>
    <b v="0"/>
    <n v="0"/>
    <n v="7"/>
  </r>
  <r>
    <s v="TASK0250"/>
    <s v="Performance Review"/>
    <s v="Liam Jackson"/>
    <s v="HR"/>
    <d v="2025-12-06T00:00:00"/>
    <d v="2025-12-16T00:00:00"/>
    <m/>
    <s v="In Progress"/>
    <x v="1"/>
    <b v="0"/>
    <n v="0"/>
    <n v="2"/>
  </r>
  <r>
    <s v="TASK0251"/>
    <s v="Contract Negotiation"/>
    <s v="Bob Martinez"/>
    <s v="HR"/>
    <d v="2025-11-01T00:00:00"/>
    <d v="2025-11-26T00:00:00"/>
    <m/>
    <s v="In Progress"/>
    <x v="2"/>
    <b v="0"/>
    <n v="0"/>
    <n v="6"/>
  </r>
  <r>
    <s v="TASK0252"/>
    <s v="Stakeholder Report"/>
    <s v="Alice Johnson"/>
    <s v="Finance"/>
    <d v="2025-12-15T00:00:00"/>
    <d v="2026-01-04T00:00:00"/>
    <d v="2026-01-09T00:00:00"/>
    <s v="Completed"/>
    <x v="3"/>
    <b v="1"/>
    <n v="5"/>
    <n v="6"/>
  </r>
  <r>
    <s v="TASK0253"/>
    <s v="Risk Assessment"/>
    <s v="Carol White"/>
    <s v="IT"/>
    <d v="2026-01-14T00:00:00"/>
    <d v="2026-02-11T00:00:00"/>
    <d v="2026-02-13T00:00:00"/>
    <s v="Completed"/>
    <x v="1"/>
    <b v="1"/>
    <n v="2"/>
    <n v="9"/>
  </r>
  <r>
    <s v="TASK0254"/>
    <s v="Team Meeting"/>
    <s v="Alice Johnson"/>
    <s v="Finance"/>
    <d v="2025-05-16T00:00:00"/>
    <d v="2025-06-06T00:00:00"/>
    <m/>
    <s v="In Progress"/>
    <x v="2"/>
    <b v="0"/>
    <n v="0"/>
    <n v="5"/>
  </r>
  <r>
    <s v="TASK0255"/>
    <s v="System Upgrade"/>
    <s v="Alice Johnson"/>
    <s v="Finance"/>
    <d v="2025-07-10T00:00:00"/>
    <d v="2025-07-27T00:00:00"/>
    <d v="2025-07-26T00:00:00"/>
    <s v="Completed"/>
    <x v="3"/>
    <b v="0"/>
    <n v="0"/>
    <n v="3"/>
  </r>
  <r>
    <s v="TASK0256"/>
    <s v="Compliance Audit"/>
    <s v="Bob Martinez"/>
    <s v="HR"/>
    <d v="2025-06-12T00:00:00"/>
    <d v="2025-06-21T00:00:00"/>
    <d v="2025-06-19T00:00:00"/>
    <s v="Completed"/>
    <x v="1"/>
    <b v="0"/>
    <n v="0"/>
    <n v="2"/>
  </r>
  <r>
    <s v="TASK0257"/>
    <s v="Process Improvement"/>
    <s v="Henry Davis"/>
    <s v="IT"/>
    <d v="2025-04-03T00:00:00"/>
    <d v="2025-04-27T00:00:00"/>
    <m/>
    <s v="In Progress"/>
    <x v="2"/>
    <b v="0"/>
    <n v="0"/>
    <n v="4"/>
  </r>
  <r>
    <s v="TASK0258"/>
    <s v="System Upgrade"/>
    <s v="Nathan Clark"/>
    <s v="Operations"/>
    <d v="2025-01-23T00:00:00"/>
    <d v="2025-01-29T00:00:00"/>
    <d v="2025-01-31T00:00:00"/>
    <s v="Completed"/>
    <x v="1"/>
    <b v="1"/>
    <n v="2"/>
    <n v="8"/>
  </r>
  <r>
    <s v="TASK0259"/>
    <s v="Dashboard Setup"/>
    <s v="James Anderson"/>
    <s v="Sales"/>
    <d v="2025-02-16T00:00:00"/>
    <d v="2025-03-13T00:00:00"/>
    <m/>
    <s v="Overdue"/>
    <x v="2"/>
    <b v="1"/>
    <n v="14"/>
    <n v="10"/>
  </r>
  <r>
    <s v="TASK0260"/>
    <s v="Process Improvement"/>
    <s v="Henry Davis"/>
    <s v="IT"/>
    <d v="2025-01-29T00:00:00"/>
    <d v="2025-02-09T00:00:00"/>
    <d v="2025-02-11T00:00:00"/>
    <s v="Completed"/>
    <x v="1"/>
    <b v="1"/>
    <n v="2"/>
    <n v="3"/>
  </r>
  <r>
    <s v="TASK0261"/>
    <s v="Team Meeting"/>
    <s v="Olivia Lewis"/>
    <s v="Sales"/>
    <d v="2025-12-27T00:00:00"/>
    <d v="2026-01-25T00:00:00"/>
    <m/>
    <s v="Overdue"/>
    <x v="0"/>
    <b v="1"/>
    <n v="7"/>
    <n v="10"/>
  </r>
  <r>
    <s v="TASK0262"/>
    <s v="Performance Review"/>
    <s v="Henry Davis"/>
    <s v="IT"/>
    <d v="2025-12-29T00:00:00"/>
    <d v="2026-01-11T00:00:00"/>
    <m/>
    <s v="Cancelled"/>
    <x v="0"/>
    <b v="0"/>
    <n v="0"/>
    <n v="10"/>
  </r>
  <r>
    <s v="TASK0263"/>
    <s v="Client Presentation"/>
    <s v="Liam Jackson"/>
    <s v="HR"/>
    <d v="2025-03-28T00:00:00"/>
    <d v="2025-04-26T00:00:00"/>
    <d v="2025-04-25T00:00:00"/>
    <s v="Completed"/>
    <x v="2"/>
    <b v="0"/>
    <n v="0"/>
    <n v="6"/>
  </r>
  <r>
    <s v="TASK0264"/>
    <s v="Vendor Evaluation"/>
    <s v="Liam Jackson"/>
    <s v="HR"/>
    <d v="2025-07-03T00:00:00"/>
    <d v="2025-07-17T00:00:00"/>
    <d v="2025-07-19T00:00:00"/>
    <s v="Completed"/>
    <x v="0"/>
    <b v="1"/>
    <n v="2"/>
    <n v="9"/>
  </r>
  <r>
    <s v="TASK0265"/>
    <s v="Security Patch"/>
    <s v="Maria Harris"/>
    <s v="IT"/>
    <d v="2025-06-26T00:00:00"/>
    <d v="2025-07-19T00:00:00"/>
    <m/>
    <s v="Cancelled"/>
    <x v="1"/>
    <b v="0"/>
    <n v="0"/>
    <n v="7"/>
  </r>
  <r>
    <s v="TASK0266"/>
    <s v="Risk Assessment"/>
    <s v="Emma Brown"/>
    <s v="Sales"/>
    <d v="2025-05-12T00:00:00"/>
    <d v="2025-06-01T00:00:00"/>
    <m/>
    <s v="In Progress"/>
    <x v="0"/>
    <b v="0"/>
    <n v="0"/>
    <n v="4"/>
  </r>
  <r>
    <s v="TASK0267"/>
    <s v="Budget Review"/>
    <s v="Frank Wilson"/>
    <s v="Finance"/>
    <d v="2025-06-20T00:00:00"/>
    <d v="2025-07-07T00:00:00"/>
    <d v="2025-07-05T00:00:00"/>
    <s v="Completed"/>
    <x v="2"/>
    <b v="0"/>
    <n v="0"/>
    <n v="6"/>
  </r>
  <r>
    <s v="TASK0268"/>
    <s v="Stakeholder Report"/>
    <s v="Emma Brown"/>
    <s v="Sales"/>
    <d v="2025-04-07T00:00:00"/>
    <d v="2025-05-01T00:00:00"/>
    <d v="2025-05-04T00:00:00"/>
    <s v="Completed"/>
    <x v="0"/>
    <b v="1"/>
    <n v="3"/>
    <n v="2"/>
  </r>
  <r>
    <s v="TASK0269"/>
    <s v="Market Analysis"/>
    <s v="Liam Jackson"/>
    <s v="HR"/>
    <d v="2026-02-22T00:00:00"/>
    <d v="2026-03-01T00:00:00"/>
    <m/>
    <s v="Overdue"/>
    <x v="2"/>
    <b v="1"/>
    <n v="12"/>
    <n v="8"/>
  </r>
  <r>
    <s v="TASK0270"/>
    <s v="Policy Update"/>
    <s v="Bob Martinez"/>
    <s v="HR"/>
    <d v="2025-06-26T00:00:00"/>
    <d v="2025-07-01T00:00:00"/>
    <m/>
    <s v="Cancelled"/>
    <x v="3"/>
    <b v="0"/>
    <n v="0"/>
    <n v="7"/>
  </r>
  <r>
    <s v="TASK0271"/>
    <s v="Quarterly Report"/>
    <s v="Nathan Clark"/>
    <s v="Operations"/>
    <d v="2026-02-26T00:00:00"/>
    <d v="2026-03-19T00:00:00"/>
    <d v="2026-03-26T00:00:00"/>
    <s v="Completed"/>
    <x v="0"/>
    <b v="1"/>
    <n v="7"/>
    <n v="7"/>
  </r>
  <r>
    <s v="TASK0272"/>
    <s v="Stakeholder Report"/>
    <s v="Isabella Taylor"/>
    <s v="Operations"/>
    <d v="2025-04-18T00:00:00"/>
    <d v="2025-05-04T00:00:00"/>
    <m/>
    <s v="Overdue"/>
    <x v="3"/>
    <b v="1"/>
    <n v="4"/>
    <n v="2"/>
  </r>
  <r>
    <s v="TASK0273"/>
    <s v="Compliance Audit"/>
    <s v="Grace Chen"/>
    <s v="HR"/>
    <d v="2026-02-01T00:00:00"/>
    <d v="2026-02-27T00:00:00"/>
    <m/>
    <s v="Overdue"/>
    <x v="3"/>
    <b v="1"/>
    <n v="19"/>
    <n v="10"/>
  </r>
  <r>
    <s v="TASK0274"/>
    <s v="Team Meeting"/>
    <s v="Frank Wilson"/>
    <s v="Finance"/>
    <d v="2025-07-15T00:00:00"/>
    <d v="2025-08-07T00:00:00"/>
    <d v="2025-08-06T00:00:00"/>
    <s v="Completed"/>
    <x v="0"/>
    <b v="0"/>
    <n v="0"/>
    <n v="7"/>
  </r>
  <r>
    <s v="TASK0275"/>
    <s v="Market Analysis"/>
    <s v="Henry Davis"/>
    <s v="IT"/>
    <d v="2025-12-23T00:00:00"/>
    <d v="2026-01-18T00:00:00"/>
    <m/>
    <s v="Cancelled"/>
    <x v="0"/>
    <b v="0"/>
    <n v="0"/>
    <n v="1"/>
  </r>
  <r>
    <s v="TASK0276"/>
    <s v="Training Session"/>
    <s v="Maria Harris"/>
    <s v="IT"/>
    <d v="2025-06-18T00:00:00"/>
    <d v="2025-06-24T00:00:00"/>
    <m/>
    <s v="Overdue"/>
    <x v="0"/>
    <b v="1"/>
    <n v="2"/>
    <n v="2"/>
  </r>
  <r>
    <s v="TASK0277"/>
    <s v="Contract Negotiation"/>
    <s v="Frank Wilson"/>
    <s v="Finance"/>
    <d v="2026-03-18T00:00:00"/>
    <d v="2026-04-09T00:00:00"/>
    <m/>
    <s v="In Progress"/>
    <x v="0"/>
    <b v="0"/>
    <n v="0"/>
    <n v="9"/>
  </r>
  <r>
    <s v="TASK0278"/>
    <s v="Process Improvement"/>
    <s v="James Anderson"/>
    <s v="Sales"/>
    <d v="2025-02-27T00:00:00"/>
    <d v="2025-03-05T00:00:00"/>
    <d v="2025-03-11T00:00:00"/>
    <s v="Completed"/>
    <x v="0"/>
    <b v="1"/>
    <n v="6"/>
    <n v="2"/>
  </r>
  <r>
    <s v="TASK0279"/>
    <s v="Compliance Audit"/>
    <s v="Liam Jackson"/>
    <s v="HR"/>
    <d v="2025-11-25T00:00:00"/>
    <d v="2025-12-21T00:00:00"/>
    <d v="2025-12-19T00:00:00"/>
    <s v="Completed"/>
    <x v="1"/>
    <b v="0"/>
    <n v="0"/>
    <n v="8"/>
  </r>
  <r>
    <s v="TASK0280"/>
    <s v="Vendor Evaluation"/>
    <s v="Alice Johnson"/>
    <s v="Finance"/>
    <d v="2025-09-18T00:00:00"/>
    <d v="2025-09-25T00:00:00"/>
    <d v="2025-09-29T00:00:00"/>
    <s v="Completed"/>
    <x v="0"/>
    <b v="1"/>
    <n v="4"/>
    <n v="5"/>
  </r>
  <r>
    <s v="TASK0281"/>
    <s v="Quarterly Report"/>
    <s v="Karen Thomas"/>
    <s v="Finance"/>
    <d v="2025-09-19T00:00:00"/>
    <d v="2025-10-04T00:00:00"/>
    <m/>
    <s v="In Progress"/>
    <x v="2"/>
    <b v="0"/>
    <n v="0"/>
    <n v="2"/>
  </r>
  <r>
    <s v="TASK0282"/>
    <s v="Training Session"/>
    <s v="Olivia Lewis"/>
    <s v="Sales"/>
    <d v="2025-03-26T00:00:00"/>
    <d v="2025-04-11T00:00:00"/>
    <d v="2025-04-12T00:00:00"/>
    <s v="Completed"/>
    <x v="2"/>
    <b v="1"/>
    <n v="1"/>
    <n v="6"/>
  </r>
  <r>
    <s v="TASK0283"/>
    <s v="Client Presentation"/>
    <s v="Carol White"/>
    <s v="IT"/>
    <d v="2025-12-31T00:00:00"/>
    <d v="2026-01-14T00:00:00"/>
    <d v="2026-01-21T00:00:00"/>
    <s v="Completed"/>
    <x v="1"/>
    <b v="1"/>
    <n v="7"/>
    <n v="1"/>
  </r>
  <r>
    <s v="TASK0284"/>
    <s v="Stakeholder Report"/>
    <s v="David Lee"/>
    <s v="Operations"/>
    <d v="2025-10-13T00:00:00"/>
    <d v="2025-10-25T00:00:00"/>
    <m/>
    <s v="Overdue"/>
    <x v="0"/>
    <b v="1"/>
    <n v="9"/>
    <n v="1"/>
  </r>
  <r>
    <s v="TASK0285"/>
    <s v="Performance Review"/>
    <s v="Carol White"/>
    <s v="IT"/>
    <d v="2026-03-24T00:00:00"/>
    <d v="2026-04-08T00:00:00"/>
    <d v="2026-04-15T00:00:00"/>
    <s v="Completed"/>
    <x v="3"/>
    <b v="1"/>
    <n v="7"/>
    <n v="5"/>
  </r>
  <r>
    <s v="TASK0286"/>
    <s v="Product Launch"/>
    <s v="James Anderson"/>
    <s v="Sales"/>
    <d v="2026-02-11T00:00:00"/>
    <d v="2026-02-24T00:00:00"/>
    <d v="2026-02-22T00:00:00"/>
    <s v="Completed"/>
    <x v="0"/>
    <b v="0"/>
    <n v="0"/>
    <n v="1"/>
  </r>
  <r>
    <s v="TASK0287"/>
    <s v="Data Migration"/>
    <s v="Emma Brown"/>
    <s v="Sales"/>
    <d v="2025-01-27T00:00:00"/>
    <d v="2025-01-30T00:00:00"/>
    <d v="2025-02-05T00:00:00"/>
    <s v="Completed"/>
    <x v="1"/>
    <b v="1"/>
    <n v="6"/>
    <n v="10"/>
  </r>
  <r>
    <s v="TASK0288"/>
    <s v="Stakeholder Report"/>
    <s v="Olivia Lewis"/>
    <s v="Sales"/>
    <d v="2025-09-13T00:00:00"/>
    <d v="2025-10-05T00:00:00"/>
    <m/>
    <s v="Cancelled"/>
    <x v="0"/>
    <b v="0"/>
    <n v="0"/>
    <n v="2"/>
  </r>
  <r>
    <s v="TASK0289"/>
    <s v="Market Analysis"/>
    <s v="Frank Wilson"/>
    <s v="Finance"/>
    <d v="2025-05-10T00:00:00"/>
    <d v="2025-05-21T00:00:00"/>
    <d v="2025-05-26T00:00:00"/>
    <s v="Completed"/>
    <x v="0"/>
    <b v="1"/>
    <n v="5"/>
    <n v="2"/>
  </r>
  <r>
    <s v="TASK0290"/>
    <s v="Budget Review"/>
    <s v="Carol White"/>
    <s v="IT"/>
    <d v="2025-10-31T00:00:00"/>
    <d v="2025-11-26T00:00:00"/>
    <m/>
    <s v="Cancelled"/>
    <x v="2"/>
    <b v="0"/>
    <n v="0"/>
    <n v="2"/>
  </r>
  <r>
    <s v="TASK0291"/>
    <s v="Contract Negotiation"/>
    <s v="Bob Martinez"/>
    <s v="HR"/>
    <d v="2026-01-14T00:00:00"/>
    <d v="2026-01-26T00:00:00"/>
    <m/>
    <s v="Cancelled"/>
    <x v="1"/>
    <b v="0"/>
    <n v="0"/>
    <n v="8"/>
  </r>
  <r>
    <s v="TASK0292"/>
    <s v="Product Launch"/>
    <s v="Olivia Lewis"/>
    <s v="Sales"/>
    <d v="2025-06-24T00:00:00"/>
    <d v="2025-07-11T00:00:00"/>
    <m/>
    <s v="Overdue"/>
    <x v="2"/>
    <b v="1"/>
    <n v="19"/>
    <n v="4"/>
  </r>
  <r>
    <s v="TASK0293"/>
    <s v="Risk Assessment"/>
    <s v="Nathan Clark"/>
    <s v="Operations"/>
    <d v="2025-07-25T00:00:00"/>
    <d v="2025-08-09T00:00:00"/>
    <m/>
    <s v="In Progress"/>
    <x v="1"/>
    <b v="0"/>
    <n v="0"/>
    <n v="8"/>
  </r>
  <r>
    <s v="TASK0294"/>
    <s v="System Upgrade"/>
    <s v="Maria Harris"/>
    <s v="IT"/>
    <d v="2025-02-10T00:00:00"/>
    <d v="2025-03-04T00:00:00"/>
    <d v="2025-03-02T00:00:00"/>
    <s v="Completed"/>
    <x v="2"/>
    <b v="0"/>
    <n v="0"/>
    <n v="4"/>
  </r>
  <r>
    <s v="TASK0295"/>
    <s v="Policy Update"/>
    <s v="Isabella Taylor"/>
    <s v="Operations"/>
    <d v="2025-10-03T00:00:00"/>
    <d v="2025-10-08T00:00:00"/>
    <m/>
    <s v="Cancelled"/>
    <x v="0"/>
    <b v="0"/>
    <n v="0"/>
    <n v="8"/>
  </r>
  <r>
    <s v="TASK0296"/>
    <s v="Market Analysis"/>
    <s v="Alice Johnson"/>
    <s v="Finance"/>
    <d v="2026-01-04T00:00:00"/>
    <d v="2026-01-12T00:00:00"/>
    <d v="2026-01-13T00:00:00"/>
    <s v="Completed"/>
    <x v="2"/>
    <b v="1"/>
    <n v="1"/>
    <n v="3"/>
  </r>
  <r>
    <s v="TASK0297"/>
    <s v="Client Presentation"/>
    <s v="Henry Davis"/>
    <s v="IT"/>
    <d v="2025-09-11T00:00:00"/>
    <d v="2025-09-15T00:00:00"/>
    <m/>
    <s v="Cancelled"/>
    <x v="1"/>
    <b v="0"/>
    <n v="0"/>
    <n v="1"/>
  </r>
  <r>
    <s v="TASK0298"/>
    <s v="System Upgrade"/>
    <s v="Frank Wilson"/>
    <s v="Finance"/>
    <d v="2025-09-13T00:00:00"/>
    <d v="2025-09-25T00:00:00"/>
    <d v="2025-10-02T00:00:00"/>
    <s v="Completed"/>
    <x v="3"/>
    <b v="1"/>
    <n v="7"/>
    <n v="2"/>
  </r>
  <r>
    <s v="TASK0299"/>
    <s v="Product Launch"/>
    <s v="David Lee"/>
    <s v="Operations"/>
    <d v="2025-12-27T00:00:00"/>
    <d v="2026-01-22T00:00:00"/>
    <d v="2026-01-26T00:00:00"/>
    <s v="Completed"/>
    <x v="0"/>
    <b v="1"/>
    <n v="4"/>
    <n v="6"/>
  </r>
  <r>
    <s v="TASK0300"/>
    <s v="System Upgrade"/>
    <s v="James Anderson"/>
    <s v="Sales"/>
    <d v="2025-02-10T00:00:00"/>
    <d v="2025-02-25T00:00:00"/>
    <d v="2025-02-25T00:00:00"/>
    <s v="Completed"/>
    <x v="1"/>
    <b v="0"/>
    <n v="0"/>
    <n v="9"/>
  </r>
  <r>
    <s v="TASK0301"/>
    <s v="Compliance Audit"/>
    <s v="Grace Chen"/>
    <s v="HR"/>
    <d v="2025-12-13T00:00:00"/>
    <d v="2025-12-19T00:00:00"/>
    <d v="2025-12-22T00:00:00"/>
    <s v="Completed"/>
    <x v="1"/>
    <b v="1"/>
    <n v="3"/>
    <n v="5"/>
  </r>
  <r>
    <s v="TASK0302"/>
    <s v="Team Meeting"/>
    <s v="Grace Chen"/>
    <s v="HR"/>
    <d v="2025-10-30T00:00:00"/>
    <d v="2025-11-06T00:00:00"/>
    <m/>
    <s v="In Progress"/>
    <x v="2"/>
    <b v="0"/>
    <n v="0"/>
    <n v="2"/>
  </r>
  <r>
    <s v="TASK0303"/>
    <s v="Team Meeting"/>
    <s v="Grace Chen"/>
    <s v="HR"/>
    <d v="2025-11-18T00:00:00"/>
    <d v="2025-12-16T00:00:00"/>
    <m/>
    <s v="In Progress"/>
    <x v="2"/>
    <b v="0"/>
    <n v="0"/>
    <n v="10"/>
  </r>
  <r>
    <s v="TASK0304"/>
    <s v="Product Launch"/>
    <s v="Liam Jackson"/>
    <s v="HR"/>
    <d v="2025-08-22T00:00:00"/>
    <d v="2025-08-25T00:00:00"/>
    <d v="2025-08-28T00:00:00"/>
    <s v="Completed"/>
    <x v="2"/>
    <b v="1"/>
    <n v="3"/>
    <n v="2"/>
  </r>
  <r>
    <s v="TASK0305"/>
    <s v="Product Launch"/>
    <s v="Olivia Lewis"/>
    <s v="Sales"/>
    <d v="2025-08-04T00:00:00"/>
    <d v="2025-08-31T00:00:00"/>
    <d v="2025-09-02T00:00:00"/>
    <s v="Completed"/>
    <x v="1"/>
    <b v="1"/>
    <n v="2"/>
    <n v="5"/>
  </r>
  <r>
    <s v="TASK0306"/>
    <s v="Security Patch"/>
    <s v="Olivia Lewis"/>
    <s v="Sales"/>
    <d v="2025-10-14T00:00:00"/>
    <d v="2025-11-02T00:00:00"/>
    <d v="2025-10-31T00:00:00"/>
    <s v="Completed"/>
    <x v="0"/>
    <b v="0"/>
    <n v="0"/>
    <n v="1"/>
  </r>
  <r>
    <s v="TASK0307"/>
    <s v="Data Migration"/>
    <s v="Isabella Taylor"/>
    <s v="Operations"/>
    <d v="2025-08-03T00:00:00"/>
    <d v="2025-08-25T00:00:00"/>
    <m/>
    <s v="Overdue"/>
    <x v="0"/>
    <b v="1"/>
    <n v="2"/>
    <n v="10"/>
  </r>
  <r>
    <s v="TASK0308"/>
    <s v="Code Review"/>
    <s v="Maria Harris"/>
    <s v="IT"/>
    <d v="2025-07-12T00:00:00"/>
    <d v="2025-07-27T00:00:00"/>
    <m/>
    <s v="Overdue"/>
    <x v="0"/>
    <b v="1"/>
    <n v="13"/>
    <n v="9"/>
  </r>
  <r>
    <s v="TASK0309"/>
    <s v="Process Improvement"/>
    <s v="Carol White"/>
    <s v="IT"/>
    <d v="2025-10-26T00:00:00"/>
    <d v="2025-11-19T00:00:00"/>
    <d v="2025-11-23T00:00:00"/>
    <s v="Completed"/>
    <x v="0"/>
    <b v="1"/>
    <n v="4"/>
    <n v="9"/>
  </r>
  <r>
    <s v="TASK0310"/>
    <s v="Contract Negotiation"/>
    <s v="Nathan Clark"/>
    <s v="Operations"/>
    <d v="2026-01-01T00:00:00"/>
    <d v="2026-01-13T00:00:00"/>
    <d v="2026-01-16T00:00:00"/>
    <s v="Completed"/>
    <x v="2"/>
    <b v="1"/>
    <n v="3"/>
    <n v="10"/>
  </r>
  <r>
    <s v="TASK0311"/>
    <s v="Training Session"/>
    <s v="Alice Johnson"/>
    <s v="Finance"/>
    <d v="2025-12-02T00:00:00"/>
    <d v="2025-12-14T00:00:00"/>
    <d v="2025-12-13T00:00:00"/>
    <s v="Completed"/>
    <x v="0"/>
    <b v="0"/>
    <n v="0"/>
    <n v="8"/>
  </r>
  <r>
    <s v="TASK0312"/>
    <s v="Client Presentation"/>
    <s v="Frank Wilson"/>
    <s v="Finance"/>
    <d v="2026-02-07T00:00:00"/>
    <d v="2026-03-01T00:00:00"/>
    <m/>
    <s v="Overdue"/>
    <x v="0"/>
    <b v="1"/>
    <n v="6"/>
    <n v="2"/>
  </r>
  <r>
    <s v="TASK0313"/>
    <s v="Data Migration"/>
    <s v="Isabella Taylor"/>
    <s v="Operations"/>
    <d v="2025-03-30T00:00:00"/>
    <d v="2025-04-12T00:00:00"/>
    <d v="2025-04-12T00:00:00"/>
    <s v="Completed"/>
    <x v="1"/>
    <b v="0"/>
    <n v="0"/>
    <n v="2"/>
  </r>
  <r>
    <s v="TASK0314"/>
    <s v="Team Meeting"/>
    <s v="Emma Brown"/>
    <s v="Sales"/>
    <d v="2025-11-15T00:00:00"/>
    <d v="2025-12-10T00:00:00"/>
    <m/>
    <s v="Overdue"/>
    <x v="1"/>
    <b v="1"/>
    <n v="4"/>
    <n v="6"/>
  </r>
  <r>
    <s v="TASK0315"/>
    <s v="Performance Review"/>
    <s v="Liam Jackson"/>
    <s v="HR"/>
    <d v="2025-05-04T00:00:00"/>
    <d v="2025-05-13T00:00:00"/>
    <d v="2025-05-14T00:00:00"/>
    <s v="Completed"/>
    <x v="0"/>
    <b v="1"/>
    <n v="1"/>
    <n v="4"/>
  </r>
  <r>
    <s v="TASK0316"/>
    <s v="System Upgrade"/>
    <s v="Frank Wilson"/>
    <s v="Finance"/>
    <d v="2025-02-01T00:00:00"/>
    <d v="2025-02-15T00:00:00"/>
    <m/>
    <s v="In Progress"/>
    <x v="0"/>
    <b v="0"/>
    <n v="0"/>
    <n v="2"/>
  </r>
  <r>
    <s v="TASK0317"/>
    <s v="Policy Update"/>
    <s v="Henry Davis"/>
    <s v="IT"/>
    <d v="2025-04-03T00:00:00"/>
    <d v="2025-04-18T00:00:00"/>
    <m/>
    <s v="Overdue"/>
    <x v="0"/>
    <b v="1"/>
    <n v="9"/>
    <n v="2"/>
  </r>
  <r>
    <s v="TASK0318"/>
    <s v="Team Meeting"/>
    <s v="Maria Harris"/>
    <s v="IT"/>
    <d v="2025-04-15T00:00:00"/>
    <d v="2025-04-30T00:00:00"/>
    <d v="2025-05-01T00:00:00"/>
    <s v="Completed"/>
    <x v="2"/>
    <b v="1"/>
    <n v="1"/>
    <n v="2"/>
  </r>
  <r>
    <s v="TASK0319"/>
    <s v="Compliance Audit"/>
    <s v="Frank Wilson"/>
    <s v="Finance"/>
    <d v="2025-03-24T00:00:00"/>
    <d v="2025-04-03T00:00:00"/>
    <m/>
    <s v="Overdue"/>
    <x v="2"/>
    <b v="1"/>
    <n v="7"/>
    <n v="2"/>
  </r>
  <r>
    <s v="TASK0320"/>
    <s v="Performance Review"/>
    <s v="Bob Martinez"/>
    <s v="HR"/>
    <d v="2026-02-10T00:00:00"/>
    <d v="2026-02-19T00:00:00"/>
    <d v="2026-02-22T00:00:00"/>
    <s v="Completed"/>
    <x v="0"/>
    <b v="1"/>
    <n v="3"/>
    <n v="9"/>
  </r>
  <r>
    <s v="TASK0321"/>
    <s v="Contract Negotiation"/>
    <s v="Liam Jackson"/>
    <s v="HR"/>
    <d v="2025-01-11T00:00:00"/>
    <d v="2025-02-06T00:00:00"/>
    <d v="2025-02-10T00:00:00"/>
    <s v="Completed"/>
    <x v="1"/>
    <b v="1"/>
    <n v="4"/>
    <n v="7"/>
  </r>
  <r>
    <s v="TASK0322"/>
    <s v="Code Review"/>
    <s v="Olivia Lewis"/>
    <s v="Sales"/>
    <d v="2025-08-15T00:00:00"/>
    <d v="2025-09-08T00:00:00"/>
    <m/>
    <s v="Overdue"/>
    <x v="0"/>
    <b v="1"/>
    <n v="7"/>
    <n v="9"/>
  </r>
  <r>
    <s v="TASK0323"/>
    <s v="Risk Assessment"/>
    <s v="Grace Chen"/>
    <s v="HR"/>
    <d v="2025-07-30T00:00:00"/>
    <d v="2025-08-15T00:00:00"/>
    <d v="2025-08-17T00:00:00"/>
    <s v="Completed"/>
    <x v="3"/>
    <b v="1"/>
    <n v="2"/>
    <n v="6"/>
  </r>
  <r>
    <s v="TASK0324"/>
    <s v="Policy Update"/>
    <s v="Grace Chen"/>
    <s v="HR"/>
    <d v="2026-03-22T00:00:00"/>
    <d v="2026-03-27T00:00:00"/>
    <m/>
    <s v="In Progress"/>
    <x v="0"/>
    <b v="0"/>
    <n v="0"/>
    <n v="7"/>
  </r>
  <r>
    <s v="TASK0325"/>
    <s v="Dashboard Setup"/>
    <s v="Karen Thomas"/>
    <s v="Finance"/>
    <d v="2026-03-24T00:00:00"/>
    <d v="2026-04-14T00:00:00"/>
    <m/>
    <s v="Overdue"/>
    <x v="0"/>
    <b v="1"/>
    <n v="17"/>
    <n v="3"/>
  </r>
  <r>
    <s v="TASK0326"/>
    <s v="Security Patch"/>
    <s v="Bob Martinez"/>
    <s v="HR"/>
    <d v="2025-05-01T00:00:00"/>
    <d v="2025-05-26T00:00:00"/>
    <d v="2025-05-30T00:00:00"/>
    <s v="Completed"/>
    <x v="2"/>
    <b v="1"/>
    <n v="4"/>
    <n v="9"/>
  </r>
  <r>
    <s v="TASK0327"/>
    <s v="Contract Negotiation"/>
    <s v="James Anderson"/>
    <s v="Sales"/>
    <d v="2025-05-14T00:00:00"/>
    <d v="2025-05-22T00:00:00"/>
    <m/>
    <s v="In Progress"/>
    <x v="2"/>
    <b v="0"/>
    <n v="0"/>
    <n v="10"/>
  </r>
  <r>
    <s v="TASK0328"/>
    <s v="Code Review"/>
    <s v="Carol White"/>
    <s v="IT"/>
    <d v="2025-12-11T00:00:00"/>
    <d v="2025-12-24T00:00:00"/>
    <d v="2025-12-22T00:00:00"/>
    <s v="Completed"/>
    <x v="2"/>
    <b v="0"/>
    <n v="0"/>
    <n v="7"/>
  </r>
  <r>
    <s v="TASK0329"/>
    <s v="Team Meeting"/>
    <s v="Maria Harris"/>
    <s v="IT"/>
    <d v="2025-04-12T00:00:00"/>
    <d v="2025-05-06T00:00:00"/>
    <d v="2025-05-13T00:00:00"/>
    <s v="Completed"/>
    <x v="0"/>
    <b v="1"/>
    <n v="7"/>
    <n v="8"/>
  </r>
  <r>
    <s v="TASK0330"/>
    <s v="Vendor Evaluation"/>
    <s v="David Lee"/>
    <s v="Operations"/>
    <d v="2026-03-26T00:00:00"/>
    <d v="2026-04-19T00:00:00"/>
    <d v="2026-04-21T00:00:00"/>
    <s v="Completed"/>
    <x v="1"/>
    <b v="1"/>
    <n v="2"/>
    <n v="3"/>
  </r>
  <r>
    <s v="TASK0331"/>
    <s v="Data Migration"/>
    <s v="David Lee"/>
    <s v="Operations"/>
    <d v="2025-01-03T00:00:00"/>
    <d v="2025-01-17T00:00:00"/>
    <m/>
    <s v="Cancelled"/>
    <x v="2"/>
    <b v="0"/>
    <n v="0"/>
    <n v="6"/>
  </r>
  <r>
    <s v="TASK0332"/>
    <s v="Contract Negotiation"/>
    <s v="Olivia Lewis"/>
    <s v="Sales"/>
    <d v="2025-12-14T00:00:00"/>
    <d v="2026-01-01T00:00:00"/>
    <m/>
    <s v="Overdue"/>
    <x v="2"/>
    <b v="1"/>
    <n v="8"/>
    <n v="5"/>
  </r>
  <r>
    <s v="TASK0333"/>
    <s v="Training Session"/>
    <s v="Liam Jackson"/>
    <s v="HR"/>
    <d v="2025-09-15T00:00:00"/>
    <d v="2025-09-27T00:00:00"/>
    <d v="2025-10-04T00:00:00"/>
    <s v="Completed"/>
    <x v="2"/>
    <b v="1"/>
    <n v="7"/>
    <n v="9"/>
  </r>
  <r>
    <s v="TASK0334"/>
    <s v="Security Patch"/>
    <s v="Nathan Clark"/>
    <s v="Operations"/>
    <d v="2025-12-31T00:00:00"/>
    <d v="2026-01-23T00:00:00"/>
    <d v="2026-01-21T00:00:00"/>
    <s v="Completed"/>
    <x v="2"/>
    <b v="0"/>
    <n v="0"/>
    <n v="1"/>
  </r>
  <r>
    <s v="TASK0335"/>
    <s v="Client Presentation"/>
    <s v="Carol White"/>
    <s v="IT"/>
    <d v="2025-03-26T00:00:00"/>
    <d v="2025-04-02T00:00:00"/>
    <d v="2025-04-01T00:00:00"/>
    <s v="Completed"/>
    <x v="0"/>
    <b v="0"/>
    <n v="0"/>
    <n v="4"/>
  </r>
  <r>
    <s v="TASK0336"/>
    <s v="Product Launch"/>
    <s v="Isabella Taylor"/>
    <s v="Operations"/>
    <d v="2025-10-17T00:00:00"/>
    <d v="2025-11-08T00:00:00"/>
    <m/>
    <s v="Overdue"/>
    <x v="0"/>
    <b v="1"/>
    <n v="14"/>
    <n v="5"/>
  </r>
  <r>
    <s v="TASK0337"/>
    <s v="Client Presentation"/>
    <s v="Carol White"/>
    <s v="IT"/>
    <d v="2026-02-20T00:00:00"/>
    <d v="2026-02-24T00:00:00"/>
    <d v="2026-02-24T00:00:00"/>
    <s v="Completed"/>
    <x v="0"/>
    <b v="0"/>
    <n v="0"/>
    <n v="10"/>
  </r>
  <r>
    <s v="TASK0338"/>
    <s v="Process Improvement"/>
    <s v="Olivia Lewis"/>
    <s v="Sales"/>
    <d v="2025-07-30T00:00:00"/>
    <d v="2025-08-05T00:00:00"/>
    <d v="2025-08-05T00:00:00"/>
    <s v="Completed"/>
    <x v="0"/>
    <b v="0"/>
    <n v="0"/>
    <n v="8"/>
  </r>
  <r>
    <s v="TASK0339"/>
    <s v="Team Meeting"/>
    <s v="Carol White"/>
    <s v="IT"/>
    <d v="2025-12-25T00:00:00"/>
    <d v="2026-01-02T00:00:00"/>
    <d v="2026-01-09T00:00:00"/>
    <s v="Completed"/>
    <x v="0"/>
    <b v="1"/>
    <n v="7"/>
    <n v="2"/>
  </r>
  <r>
    <s v="TASK0340"/>
    <s v="System Upgrade"/>
    <s v="Isabella Taylor"/>
    <s v="Operations"/>
    <d v="2025-04-25T00:00:00"/>
    <d v="2025-05-05T00:00:00"/>
    <d v="2025-05-04T00:00:00"/>
    <s v="Completed"/>
    <x v="2"/>
    <b v="0"/>
    <n v="0"/>
    <n v="9"/>
  </r>
  <r>
    <s v="TASK0341"/>
    <s v="Process Improvement"/>
    <s v="Alice Johnson"/>
    <s v="Finance"/>
    <d v="2026-01-17T00:00:00"/>
    <d v="2026-02-06T00:00:00"/>
    <d v="2026-02-07T00:00:00"/>
    <s v="Completed"/>
    <x v="0"/>
    <b v="1"/>
    <n v="1"/>
    <n v="10"/>
  </r>
  <r>
    <s v="TASK0342"/>
    <s v="Process Improvement"/>
    <s v="David Lee"/>
    <s v="Operations"/>
    <d v="2025-12-19T00:00:00"/>
    <d v="2025-12-26T00:00:00"/>
    <m/>
    <s v="In Progress"/>
    <x v="2"/>
    <b v="0"/>
    <n v="0"/>
    <n v="1"/>
  </r>
  <r>
    <s v="TASK0343"/>
    <s v="Policy Update"/>
    <s v="David Lee"/>
    <s v="Operations"/>
    <d v="2025-02-02T00:00:00"/>
    <d v="2025-02-11T00:00:00"/>
    <m/>
    <s v="Overdue"/>
    <x v="1"/>
    <b v="1"/>
    <n v="10"/>
    <n v="3"/>
  </r>
  <r>
    <s v="TASK0344"/>
    <s v="Contract Negotiation"/>
    <s v="Alice Johnson"/>
    <s v="Finance"/>
    <d v="2025-08-30T00:00:00"/>
    <d v="2025-09-22T00:00:00"/>
    <d v="2025-09-26T00:00:00"/>
    <s v="Completed"/>
    <x v="1"/>
    <b v="1"/>
    <n v="4"/>
    <n v="1"/>
  </r>
  <r>
    <s v="TASK0345"/>
    <s v="Security Patch"/>
    <s v="Bob Martinez"/>
    <s v="HR"/>
    <d v="2026-03-15T00:00:00"/>
    <d v="2026-03-29T00:00:00"/>
    <m/>
    <s v="Cancelled"/>
    <x v="0"/>
    <b v="0"/>
    <n v="0"/>
    <n v="2"/>
  </r>
  <r>
    <s v="TASK0346"/>
    <s v="Quarterly Report"/>
    <s v="Alice Johnson"/>
    <s v="Finance"/>
    <d v="2026-01-05T00:00:00"/>
    <d v="2026-01-12T00:00:00"/>
    <m/>
    <s v="Overdue"/>
    <x v="0"/>
    <b v="1"/>
    <n v="15"/>
    <n v="9"/>
  </r>
  <r>
    <s v="TASK0347"/>
    <s v="Compliance Audit"/>
    <s v="James Anderson"/>
    <s v="Sales"/>
    <d v="2025-08-15T00:00:00"/>
    <d v="2025-09-05T00:00:00"/>
    <d v="2025-09-08T00:00:00"/>
    <s v="Completed"/>
    <x v="2"/>
    <b v="1"/>
    <n v="3"/>
    <n v="3"/>
  </r>
  <r>
    <s v="TASK0348"/>
    <s v="Market Analysis"/>
    <s v="Henry Davis"/>
    <s v="IT"/>
    <d v="2026-02-15T00:00:00"/>
    <d v="2026-03-11T00:00:00"/>
    <m/>
    <s v="Overdue"/>
    <x v="2"/>
    <b v="1"/>
    <n v="5"/>
    <n v="6"/>
  </r>
  <r>
    <s v="TASK0349"/>
    <s v="Dashboard Setup"/>
    <s v="Liam Jackson"/>
    <s v="HR"/>
    <d v="2025-03-26T00:00:00"/>
    <d v="2025-04-07T00:00:00"/>
    <d v="2025-04-12T00:00:00"/>
    <s v="Completed"/>
    <x v="0"/>
    <b v="1"/>
    <n v="5"/>
    <n v="8"/>
  </r>
  <r>
    <s v="TASK0350"/>
    <s v="Team Meeting"/>
    <s v="Grace Chen"/>
    <s v="HR"/>
    <d v="2026-03-19T00:00:00"/>
    <d v="2026-04-01T00:00:00"/>
    <m/>
    <s v="Cancelled"/>
    <x v="0"/>
    <b v="0"/>
    <n v="0"/>
    <n v="10"/>
  </r>
  <r>
    <s v="TASK0351"/>
    <s v="Market Analysis"/>
    <s v="Frank Wilson"/>
    <s v="Finance"/>
    <d v="2025-04-10T00:00:00"/>
    <d v="2025-04-15T00:00:00"/>
    <d v="2025-04-18T00:00:00"/>
    <s v="Completed"/>
    <x v="0"/>
    <b v="1"/>
    <n v="3"/>
    <n v="1"/>
  </r>
  <r>
    <s v="TASK0352"/>
    <s v="Dashboard Setup"/>
    <s v="Grace Chen"/>
    <s v="HR"/>
    <d v="2025-09-28T00:00:00"/>
    <d v="2025-10-11T00:00:00"/>
    <d v="2025-10-15T00:00:00"/>
    <s v="Completed"/>
    <x v="1"/>
    <b v="1"/>
    <n v="4"/>
    <n v="6"/>
  </r>
  <r>
    <s v="TASK0353"/>
    <s v="Dashboard Setup"/>
    <s v="Olivia Lewis"/>
    <s v="Sales"/>
    <d v="2025-04-04T00:00:00"/>
    <d v="2025-04-16T00:00:00"/>
    <d v="2025-04-16T00:00:00"/>
    <s v="Completed"/>
    <x v="1"/>
    <b v="0"/>
    <n v="0"/>
    <n v="3"/>
  </r>
  <r>
    <s v="TASK0354"/>
    <s v="Quarterly Report"/>
    <s v="James Anderson"/>
    <s v="Sales"/>
    <d v="2025-07-24T00:00:00"/>
    <d v="2025-08-01T00:00:00"/>
    <m/>
    <s v="Overdue"/>
    <x v="0"/>
    <b v="1"/>
    <n v="18"/>
    <n v="10"/>
  </r>
  <r>
    <s v="TASK0355"/>
    <s v="Budget Review"/>
    <s v="Karen Thomas"/>
    <s v="Finance"/>
    <d v="2025-07-23T00:00:00"/>
    <d v="2025-08-04T00:00:00"/>
    <d v="2025-08-10T00:00:00"/>
    <s v="Completed"/>
    <x v="0"/>
    <b v="1"/>
    <n v="6"/>
    <n v="5"/>
  </r>
  <r>
    <s v="TASK0356"/>
    <s v="Code Review"/>
    <s v="Maria Harris"/>
    <s v="IT"/>
    <d v="2026-01-26T00:00:00"/>
    <d v="2026-01-30T00:00:00"/>
    <d v="2026-01-31T00:00:00"/>
    <s v="Completed"/>
    <x v="3"/>
    <b v="1"/>
    <n v="1"/>
    <n v="5"/>
  </r>
  <r>
    <s v="TASK0357"/>
    <s v="Security Patch"/>
    <s v="Liam Jackson"/>
    <s v="HR"/>
    <d v="2025-11-27T00:00:00"/>
    <d v="2025-12-23T00:00:00"/>
    <m/>
    <s v="Overdue"/>
    <x v="2"/>
    <b v="1"/>
    <n v="6"/>
    <n v="3"/>
  </r>
  <r>
    <s v="TASK0358"/>
    <s v="Client Presentation"/>
    <s v="David Lee"/>
    <s v="Operations"/>
    <d v="2025-12-24T00:00:00"/>
    <d v="2026-01-02T00:00:00"/>
    <m/>
    <s v="Overdue"/>
    <x v="0"/>
    <b v="1"/>
    <n v="8"/>
    <n v="8"/>
  </r>
  <r>
    <s v="TASK0359"/>
    <s v="Contract Negotiation"/>
    <s v="Alice Johnson"/>
    <s v="Finance"/>
    <d v="2025-06-17T00:00:00"/>
    <d v="2025-07-10T00:00:00"/>
    <m/>
    <s v="In Progress"/>
    <x v="1"/>
    <b v="0"/>
    <n v="0"/>
    <n v="2"/>
  </r>
  <r>
    <s v="TASK0360"/>
    <s v="Budget Review"/>
    <s v="Nathan Clark"/>
    <s v="Operations"/>
    <d v="2025-10-16T00:00:00"/>
    <d v="2025-10-27T00:00:00"/>
    <d v="2025-10-27T00:00:00"/>
    <s v="Completed"/>
    <x v="0"/>
    <b v="0"/>
    <n v="0"/>
    <n v="6"/>
  </r>
  <r>
    <s v="TASK0361"/>
    <s v="Market Analysis"/>
    <s v="Alice Johnson"/>
    <s v="Finance"/>
    <d v="2025-09-18T00:00:00"/>
    <d v="2025-09-24T00:00:00"/>
    <d v="2025-09-23T00:00:00"/>
    <s v="Completed"/>
    <x v="1"/>
    <b v="0"/>
    <n v="0"/>
    <n v="9"/>
  </r>
  <r>
    <s v="TASK0362"/>
    <s v="Policy Update"/>
    <s v="David Lee"/>
    <s v="Operations"/>
    <d v="2025-05-30T00:00:00"/>
    <d v="2025-06-24T00:00:00"/>
    <m/>
    <s v="Cancelled"/>
    <x v="1"/>
    <b v="0"/>
    <n v="0"/>
    <n v="10"/>
  </r>
  <r>
    <s v="TASK0363"/>
    <s v="System Upgrade"/>
    <s v="Carol White"/>
    <s v="IT"/>
    <d v="2025-06-21T00:00:00"/>
    <d v="2025-06-25T00:00:00"/>
    <d v="2025-06-23T00:00:00"/>
    <s v="Completed"/>
    <x v="2"/>
    <b v="0"/>
    <n v="0"/>
    <n v="2"/>
  </r>
  <r>
    <s v="TASK0364"/>
    <s v="Policy Update"/>
    <s v="Olivia Lewis"/>
    <s v="Sales"/>
    <d v="2025-11-27T00:00:00"/>
    <d v="2025-12-15T00:00:00"/>
    <d v="2025-12-13T00:00:00"/>
    <s v="Completed"/>
    <x v="3"/>
    <b v="0"/>
    <n v="0"/>
    <n v="6"/>
  </r>
  <r>
    <s v="TASK0365"/>
    <s v="Contract Negotiation"/>
    <s v="Liam Jackson"/>
    <s v="HR"/>
    <d v="2025-07-17T00:00:00"/>
    <d v="2025-08-03T00:00:00"/>
    <m/>
    <s v="Overdue"/>
    <x v="0"/>
    <b v="1"/>
    <n v="18"/>
    <n v="4"/>
  </r>
  <r>
    <s v="TASK0366"/>
    <s v="Risk Assessment"/>
    <s v="Karen Thomas"/>
    <s v="Finance"/>
    <d v="2025-01-31T00:00:00"/>
    <d v="2025-02-07T00:00:00"/>
    <d v="2025-02-09T00:00:00"/>
    <s v="Completed"/>
    <x v="0"/>
    <b v="1"/>
    <n v="2"/>
    <n v="2"/>
  </r>
  <r>
    <s v="TASK0367"/>
    <s v="Client Presentation"/>
    <s v="Liam Jackson"/>
    <s v="HR"/>
    <d v="2025-12-26T00:00:00"/>
    <d v="2026-01-20T00:00:00"/>
    <d v="2026-01-24T00:00:00"/>
    <s v="Completed"/>
    <x v="2"/>
    <b v="1"/>
    <n v="4"/>
    <n v="8"/>
  </r>
  <r>
    <s v="TASK0368"/>
    <s v="Budget Review"/>
    <s v="Emma Brown"/>
    <s v="Sales"/>
    <d v="2026-02-01T00:00:00"/>
    <d v="2026-02-24T00:00:00"/>
    <m/>
    <s v="Overdue"/>
    <x v="0"/>
    <b v="1"/>
    <n v="4"/>
    <n v="9"/>
  </r>
  <r>
    <s v="TASK0369"/>
    <s v="Code Review"/>
    <s v="Emma Brown"/>
    <s v="Sales"/>
    <d v="2025-02-20T00:00:00"/>
    <d v="2025-03-02T00:00:00"/>
    <m/>
    <s v="In Progress"/>
    <x v="2"/>
    <b v="0"/>
    <n v="0"/>
    <n v="7"/>
  </r>
  <r>
    <s v="TASK0370"/>
    <s v="Data Migration"/>
    <s v="Olivia Lewis"/>
    <s v="Sales"/>
    <d v="2025-10-07T00:00:00"/>
    <d v="2025-10-22T00:00:00"/>
    <m/>
    <s v="In Progress"/>
    <x v="2"/>
    <b v="0"/>
    <n v="0"/>
    <n v="6"/>
  </r>
  <r>
    <s v="TASK0371"/>
    <s v="Vendor Evaluation"/>
    <s v="James Anderson"/>
    <s v="Sales"/>
    <d v="2025-10-05T00:00:00"/>
    <d v="2025-10-26T00:00:00"/>
    <d v="2025-10-29T00:00:00"/>
    <s v="Completed"/>
    <x v="0"/>
    <b v="1"/>
    <n v="3"/>
    <n v="4"/>
  </r>
  <r>
    <s v="TASK0372"/>
    <s v="Process Improvement"/>
    <s v="Karen Thomas"/>
    <s v="Finance"/>
    <d v="2025-07-15T00:00:00"/>
    <d v="2025-07-20T00:00:00"/>
    <d v="2025-07-27T00:00:00"/>
    <s v="Completed"/>
    <x v="3"/>
    <b v="1"/>
    <n v="7"/>
    <n v="1"/>
  </r>
  <r>
    <s v="TASK0373"/>
    <s v="Client Presentation"/>
    <s v="David Lee"/>
    <s v="Operations"/>
    <d v="2026-01-16T00:00:00"/>
    <d v="2026-02-10T00:00:00"/>
    <m/>
    <s v="Overdue"/>
    <x v="0"/>
    <b v="1"/>
    <n v="9"/>
    <n v="8"/>
  </r>
  <r>
    <s v="TASK0374"/>
    <s v="Risk Assessment"/>
    <s v="Isabella Taylor"/>
    <s v="Operations"/>
    <d v="2025-02-07T00:00:00"/>
    <d v="2025-02-26T00:00:00"/>
    <d v="2025-03-03T00:00:00"/>
    <s v="Completed"/>
    <x v="0"/>
    <b v="1"/>
    <n v="5"/>
    <n v="6"/>
  </r>
  <r>
    <s v="TASK0375"/>
    <s v="Contract Negotiation"/>
    <s v="Nathan Clark"/>
    <s v="Operations"/>
    <d v="2026-03-26T00:00:00"/>
    <d v="2026-04-17T00:00:00"/>
    <d v="2026-04-16T00:00:00"/>
    <s v="Completed"/>
    <x v="0"/>
    <b v="0"/>
    <n v="0"/>
    <n v="7"/>
  </r>
  <r>
    <s v="TASK0376"/>
    <s v="Code Review"/>
    <s v="Bob Martinez"/>
    <s v="HR"/>
    <d v="2025-05-31T00:00:00"/>
    <d v="2025-06-16T00:00:00"/>
    <d v="2025-06-19T00:00:00"/>
    <s v="Completed"/>
    <x v="0"/>
    <b v="1"/>
    <n v="3"/>
    <n v="6"/>
  </r>
  <r>
    <s v="TASK0377"/>
    <s v="Team Meeting"/>
    <s v="Henry Davis"/>
    <s v="IT"/>
    <d v="2025-07-11T00:00:00"/>
    <d v="2025-07-19T00:00:00"/>
    <d v="2025-07-18T00:00:00"/>
    <s v="Completed"/>
    <x v="1"/>
    <b v="0"/>
    <n v="0"/>
    <n v="6"/>
  </r>
  <r>
    <s v="TASK0378"/>
    <s v="Dashboard Setup"/>
    <s v="Bob Martinez"/>
    <s v="HR"/>
    <d v="2025-08-31T00:00:00"/>
    <d v="2025-09-22T00:00:00"/>
    <d v="2025-09-27T00:00:00"/>
    <s v="Completed"/>
    <x v="3"/>
    <b v="1"/>
    <n v="5"/>
    <n v="4"/>
  </r>
  <r>
    <s v="TASK0379"/>
    <s v="Code Review"/>
    <s v="Alice Johnson"/>
    <s v="Finance"/>
    <d v="2026-03-12T00:00:00"/>
    <d v="2026-03-19T00:00:00"/>
    <d v="2026-03-21T00:00:00"/>
    <s v="Completed"/>
    <x v="0"/>
    <b v="1"/>
    <n v="2"/>
    <n v="2"/>
  </r>
  <r>
    <s v="TASK0380"/>
    <s v="Process Improvement"/>
    <s v="James Anderson"/>
    <s v="Sales"/>
    <d v="2025-05-11T00:00:00"/>
    <d v="2025-06-03T00:00:00"/>
    <m/>
    <s v="In Progress"/>
    <x v="2"/>
    <b v="0"/>
    <n v="0"/>
    <n v="4"/>
  </r>
  <r>
    <s v="TASK0381"/>
    <s v="Team Meeting"/>
    <s v="Carol White"/>
    <s v="IT"/>
    <d v="2025-12-07T00:00:00"/>
    <d v="2025-12-23T00:00:00"/>
    <d v="2025-12-29T00:00:00"/>
    <s v="Completed"/>
    <x v="1"/>
    <b v="1"/>
    <n v="6"/>
    <n v="3"/>
  </r>
  <r>
    <s v="TASK0382"/>
    <s v="Compliance Audit"/>
    <s v="Frank Wilson"/>
    <s v="Finance"/>
    <d v="2025-04-23T00:00:00"/>
    <d v="2025-05-14T00:00:00"/>
    <d v="2025-05-14T00:00:00"/>
    <s v="Completed"/>
    <x v="2"/>
    <b v="0"/>
    <n v="0"/>
    <n v="10"/>
  </r>
  <r>
    <s v="TASK0383"/>
    <s v="System Upgrade"/>
    <s v="James Anderson"/>
    <s v="Sales"/>
    <d v="2025-08-26T00:00:00"/>
    <d v="2025-09-07T00:00:00"/>
    <m/>
    <s v="Cancelled"/>
    <x v="1"/>
    <b v="0"/>
    <n v="0"/>
    <n v="6"/>
  </r>
  <r>
    <s v="TASK0384"/>
    <s v="Client Presentation"/>
    <s v="James Anderson"/>
    <s v="Sales"/>
    <d v="2025-06-20T00:00:00"/>
    <d v="2025-07-07T00:00:00"/>
    <m/>
    <s v="Cancelled"/>
    <x v="1"/>
    <b v="0"/>
    <n v="0"/>
    <n v="4"/>
  </r>
  <r>
    <s v="TASK0385"/>
    <s v="Client Presentation"/>
    <s v="Karen Thomas"/>
    <s v="Finance"/>
    <d v="2026-03-20T00:00:00"/>
    <d v="2026-04-04T00:00:00"/>
    <d v="2026-04-11T00:00:00"/>
    <s v="Completed"/>
    <x v="2"/>
    <b v="1"/>
    <n v="7"/>
    <n v="9"/>
  </r>
  <r>
    <s v="TASK0386"/>
    <s v="Quarterly Report"/>
    <s v="Nathan Clark"/>
    <s v="Operations"/>
    <d v="2025-05-25T00:00:00"/>
    <d v="2025-06-14T00:00:00"/>
    <d v="2025-06-17T00:00:00"/>
    <s v="Completed"/>
    <x v="0"/>
    <b v="1"/>
    <n v="3"/>
    <n v="10"/>
  </r>
  <r>
    <s v="TASK0387"/>
    <s v="Process Improvement"/>
    <s v="Bob Martinez"/>
    <s v="HR"/>
    <d v="2025-07-03T00:00:00"/>
    <d v="2025-07-24T00:00:00"/>
    <m/>
    <s v="In Progress"/>
    <x v="0"/>
    <b v="0"/>
    <n v="0"/>
    <n v="6"/>
  </r>
  <r>
    <s v="TASK0388"/>
    <s v="System Upgrade"/>
    <s v="Liam Jackson"/>
    <s v="HR"/>
    <d v="2025-07-13T00:00:00"/>
    <d v="2025-07-21T00:00:00"/>
    <d v="2025-07-24T00:00:00"/>
    <s v="Completed"/>
    <x v="2"/>
    <b v="1"/>
    <n v="3"/>
    <n v="6"/>
  </r>
  <r>
    <s v="TASK0389"/>
    <s v="Dashboard Setup"/>
    <s v="Maria Harris"/>
    <s v="IT"/>
    <d v="2026-03-20T00:00:00"/>
    <d v="2026-04-06T00:00:00"/>
    <d v="2026-04-05T00:00:00"/>
    <s v="Completed"/>
    <x v="0"/>
    <b v="0"/>
    <n v="0"/>
    <n v="2"/>
  </r>
  <r>
    <s v="TASK0390"/>
    <s v="Vendor Evaluation"/>
    <s v="Alice Johnson"/>
    <s v="Finance"/>
    <d v="2026-02-06T00:00:00"/>
    <d v="2026-02-16T00:00:00"/>
    <d v="2026-02-20T00:00:00"/>
    <s v="Completed"/>
    <x v="2"/>
    <b v="1"/>
    <n v="4"/>
    <n v="3"/>
  </r>
  <r>
    <s v="TASK0391"/>
    <s v="Quarterly Report"/>
    <s v="Alice Johnson"/>
    <s v="Finance"/>
    <d v="2025-01-11T00:00:00"/>
    <d v="2025-02-05T00:00:00"/>
    <m/>
    <s v="In Progress"/>
    <x v="3"/>
    <b v="0"/>
    <n v="0"/>
    <n v="9"/>
  </r>
  <r>
    <s v="TASK0392"/>
    <s v="Vendor Evaluation"/>
    <s v="Bob Martinez"/>
    <s v="HR"/>
    <d v="2025-07-19T00:00:00"/>
    <d v="2025-08-01T00:00:00"/>
    <d v="2025-07-30T00:00:00"/>
    <s v="Completed"/>
    <x v="0"/>
    <b v="0"/>
    <n v="0"/>
    <n v="2"/>
  </r>
  <r>
    <s v="TASK0393"/>
    <s v="Product Launch"/>
    <s v="Grace Chen"/>
    <s v="HR"/>
    <d v="2025-03-22T00:00:00"/>
    <d v="2025-04-10T00:00:00"/>
    <d v="2025-04-17T00:00:00"/>
    <s v="Completed"/>
    <x v="1"/>
    <b v="1"/>
    <n v="7"/>
    <n v="9"/>
  </r>
  <r>
    <s v="TASK0394"/>
    <s v="Policy Update"/>
    <s v="Frank Wilson"/>
    <s v="Finance"/>
    <d v="2025-10-24T00:00:00"/>
    <d v="2025-10-30T00:00:00"/>
    <d v="2025-11-04T00:00:00"/>
    <s v="Completed"/>
    <x v="2"/>
    <b v="1"/>
    <n v="5"/>
    <n v="6"/>
  </r>
  <r>
    <s v="TASK0395"/>
    <s v="Training Session"/>
    <s v="Carol White"/>
    <s v="IT"/>
    <d v="2025-05-16T00:00:00"/>
    <d v="2025-06-12T00:00:00"/>
    <d v="2025-06-14T00:00:00"/>
    <s v="Completed"/>
    <x v="1"/>
    <b v="1"/>
    <n v="2"/>
    <n v="6"/>
  </r>
  <r>
    <s v="TASK0396"/>
    <s v="System Upgrade"/>
    <s v="Liam Jackson"/>
    <s v="HR"/>
    <d v="2025-06-08T00:00:00"/>
    <d v="2025-06-24T00:00:00"/>
    <d v="2025-06-29T00:00:00"/>
    <s v="Completed"/>
    <x v="2"/>
    <b v="1"/>
    <n v="5"/>
    <n v="4"/>
  </r>
  <r>
    <s v="TASK0397"/>
    <s v="Client Presentation"/>
    <s v="Frank Wilson"/>
    <s v="Finance"/>
    <d v="2025-10-02T00:00:00"/>
    <d v="2025-10-22T00:00:00"/>
    <m/>
    <s v="In Progress"/>
    <x v="0"/>
    <b v="0"/>
    <n v="0"/>
    <n v="1"/>
  </r>
  <r>
    <s v="TASK0398"/>
    <s v="System Upgrade"/>
    <s v="Liam Jackson"/>
    <s v="HR"/>
    <d v="2026-01-25T00:00:00"/>
    <d v="2026-02-09T00:00:00"/>
    <m/>
    <s v="In Progress"/>
    <x v="1"/>
    <b v="0"/>
    <n v="0"/>
    <n v="1"/>
  </r>
  <r>
    <s v="TASK0399"/>
    <s v="Stakeholder Report"/>
    <s v="James Anderson"/>
    <s v="Sales"/>
    <d v="2025-04-11T00:00:00"/>
    <d v="2025-04-29T00:00:00"/>
    <d v="2025-05-01T00:00:00"/>
    <s v="Completed"/>
    <x v="2"/>
    <b v="1"/>
    <n v="2"/>
    <n v="7"/>
  </r>
  <r>
    <s v="TASK0400"/>
    <s v="Training Session"/>
    <s v="Carol White"/>
    <s v="IT"/>
    <d v="2026-02-21T00:00:00"/>
    <d v="2026-03-07T00:00:00"/>
    <m/>
    <s v="Overdue"/>
    <x v="2"/>
    <b v="1"/>
    <n v="4"/>
    <n v="5"/>
  </r>
  <r>
    <s v="TASK0401"/>
    <s v="Product Launch"/>
    <s v="James Anderson"/>
    <s v="Sales"/>
    <d v="2026-03-05T00:00:00"/>
    <d v="2026-03-21T00:00:00"/>
    <m/>
    <s v="Cancelled"/>
    <x v="3"/>
    <b v="0"/>
    <n v="0"/>
    <n v="10"/>
  </r>
  <r>
    <s v="TASK0402"/>
    <s v="Code Review"/>
    <s v="Alice Johnson"/>
    <s v="Finance"/>
    <d v="2025-04-15T00:00:00"/>
    <d v="2025-05-14T00:00:00"/>
    <m/>
    <s v="Cancelled"/>
    <x v="0"/>
    <b v="0"/>
    <n v="0"/>
    <n v="2"/>
  </r>
  <r>
    <s v="TASK0403"/>
    <s v="Budget Review"/>
    <s v="Carol White"/>
    <s v="IT"/>
    <d v="2025-10-04T00:00:00"/>
    <d v="2025-11-01T00:00:00"/>
    <m/>
    <s v="Overdue"/>
    <x v="3"/>
    <b v="1"/>
    <n v="12"/>
    <n v="6"/>
  </r>
  <r>
    <s v="TASK0404"/>
    <s v="Vendor Evaluation"/>
    <s v="Henry Davis"/>
    <s v="IT"/>
    <d v="2025-11-29T00:00:00"/>
    <d v="2025-12-21T00:00:00"/>
    <d v="2025-12-19T00:00:00"/>
    <s v="Completed"/>
    <x v="0"/>
    <b v="0"/>
    <n v="0"/>
    <n v="5"/>
  </r>
  <r>
    <s v="TASK0405"/>
    <s v="Security Patch"/>
    <s v="Karen Thomas"/>
    <s v="Finance"/>
    <d v="2025-08-18T00:00:00"/>
    <d v="2025-09-04T00:00:00"/>
    <d v="2025-09-05T00:00:00"/>
    <s v="Completed"/>
    <x v="1"/>
    <b v="1"/>
    <n v="1"/>
    <n v="8"/>
  </r>
  <r>
    <s v="TASK0406"/>
    <s v="Market Analysis"/>
    <s v="Nathan Clark"/>
    <s v="Operations"/>
    <d v="2025-03-20T00:00:00"/>
    <d v="2025-04-02T00:00:00"/>
    <d v="2025-04-02T00:00:00"/>
    <s v="Completed"/>
    <x v="0"/>
    <b v="0"/>
    <n v="0"/>
    <n v="10"/>
  </r>
  <r>
    <s v="TASK0407"/>
    <s v="Budget Review"/>
    <s v="Karen Thomas"/>
    <s v="Finance"/>
    <d v="2025-04-07T00:00:00"/>
    <d v="2025-05-05T00:00:00"/>
    <m/>
    <s v="Overdue"/>
    <x v="1"/>
    <b v="1"/>
    <n v="17"/>
    <n v="5"/>
  </r>
  <r>
    <s v="TASK0408"/>
    <s v="Training Session"/>
    <s v="James Anderson"/>
    <s v="Sales"/>
    <d v="2025-10-06T00:00:00"/>
    <d v="2025-10-21T00:00:00"/>
    <d v="2025-10-28T00:00:00"/>
    <s v="Completed"/>
    <x v="1"/>
    <b v="1"/>
    <n v="7"/>
    <n v="4"/>
  </r>
  <r>
    <s v="TASK0409"/>
    <s v="Product Launch"/>
    <s v="Bob Martinez"/>
    <s v="HR"/>
    <d v="2025-03-09T00:00:00"/>
    <d v="2025-03-24T00:00:00"/>
    <m/>
    <s v="Cancelled"/>
    <x v="0"/>
    <b v="0"/>
    <n v="0"/>
    <n v="3"/>
  </r>
  <r>
    <s v="TASK0410"/>
    <s v="Budget Review"/>
    <s v="Bob Martinez"/>
    <s v="HR"/>
    <d v="2025-07-06T00:00:00"/>
    <d v="2025-07-21T00:00:00"/>
    <d v="2025-07-26T00:00:00"/>
    <s v="Completed"/>
    <x v="0"/>
    <b v="1"/>
    <n v="5"/>
    <n v="4"/>
  </r>
  <r>
    <s v="TASK0411"/>
    <s v="Policy Update"/>
    <s v="Liam Jackson"/>
    <s v="HR"/>
    <d v="2025-11-26T00:00:00"/>
    <d v="2025-12-13T00:00:00"/>
    <d v="2025-12-14T00:00:00"/>
    <s v="Completed"/>
    <x v="2"/>
    <b v="1"/>
    <n v="1"/>
    <n v="1"/>
  </r>
  <r>
    <s v="TASK0412"/>
    <s v="Vendor Evaluation"/>
    <s v="Maria Harris"/>
    <s v="IT"/>
    <d v="2025-03-27T00:00:00"/>
    <d v="2025-04-02T00:00:00"/>
    <m/>
    <s v="Cancelled"/>
    <x v="0"/>
    <b v="0"/>
    <n v="0"/>
    <n v="3"/>
  </r>
  <r>
    <s v="TASK0413"/>
    <s v="Data Migration"/>
    <s v="Frank Wilson"/>
    <s v="Finance"/>
    <d v="2025-03-10T00:00:00"/>
    <d v="2025-03-18T00:00:00"/>
    <d v="2025-03-22T00:00:00"/>
    <s v="Completed"/>
    <x v="0"/>
    <b v="1"/>
    <n v="4"/>
    <n v="9"/>
  </r>
  <r>
    <s v="TASK0414"/>
    <s v="Client Presentation"/>
    <s v="Bob Martinez"/>
    <s v="HR"/>
    <d v="2025-07-18T00:00:00"/>
    <d v="2025-08-08T00:00:00"/>
    <d v="2025-08-10T00:00:00"/>
    <s v="Completed"/>
    <x v="2"/>
    <b v="1"/>
    <n v="2"/>
    <n v="1"/>
  </r>
  <r>
    <s v="TASK0415"/>
    <s v="Vendor Evaluation"/>
    <s v="Isabella Taylor"/>
    <s v="Operations"/>
    <d v="2025-10-04T00:00:00"/>
    <d v="2025-10-15T00:00:00"/>
    <d v="2025-10-16T00:00:00"/>
    <s v="Completed"/>
    <x v="2"/>
    <b v="1"/>
    <n v="1"/>
    <n v="6"/>
  </r>
  <r>
    <s v="TASK0416"/>
    <s v="Risk Assessment"/>
    <s v="Emma Brown"/>
    <s v="Sales"/>
    <d v="2025-04-22T00:00:00"/>
    <d v="2025-05-04T00:00:00"/>
    <d v="2025-05-06T00:00:00"/>
    <s v="Completed"/>
    <x v="2"/>
    <b v="1"/>
    <n v="2"/>
    <n v="7"/>
  </r>
  <r>
    <s v="TASK0417"/>
    <s v="Policy Update"/>
    <s v="Emma Brown"/>
    <s v="Sales"/>
    <d v="2025-08-27T00:00:00"/>
    <d v="2025-09-04T00:00:00"/>
    <d v="2025-09-07T00:00:00"/>
    <s v="Completed"/>
    <x v="1"/>
    <b v="1"/>
    <n v="3"/>
    <n v="4"/>
  </r>
  <r>
    <s v="TASK0418"/>
    <s v="Stakeholder Report"/>
    <s v="Carol White"/>
    <s v="IT"/>
    <d v="2025-07-09T00:00:00"/>
    <d v="2025-07-31T00:00:00"/>
    <d v="2025-07-30T00:00:00"/>
    <s v="Completed"/>
    <x v="0"/>
    <b v="0"/>
    <n v="0"/>
    <n v="1"/>
  </r>
  <r>
    <s v="TASK0419"/>
    <s v="Market Analysis"/>
    <s v="Bob Martinez"/>
    <s v="HR"/>
    <d v="2025-09-28T00:00:00"/>
    <d v="2025-10-07T00:00:00"/>
    <d v="2025-10-12T00:00:00"/>
    <s v="Completed"/>
    <x v="1"/>
    <b v="1"/>
    <n v="5"/>
    <n v="8"/>
  </r>
  <r>
    <s v="TASK0420"/>
    <s v="Data Migration"/>
    <s v="Nathan Clark"/>
    <s v="Operations"/>
    <d v="2026-02-23T00:00:00"/>
    <d v="2026-03-24T00:00:00"/>
    <m/>
    <s v="In Progress"/>
    <x v="0"/>
    <b v="0"/>
    <n v="0"/>
    <n v="3"/>
  </r>
  <r>
    <s v="TASK0421"/>
    <s v="Product Launch"/>
    <s v="Olivia Lewis"/>
    <s v="Sales"/>
    <d v="2025-08-30T00:00:00"/>
    <d v="2025-09-05T00:00:00"/>
    <d v="2025-09-10T00:00:00"/>
    <s v="Completed"/>
    <x v="3"/>
    <b v="1"/>
    <n v="5"/>
    <n v="10"/>
  </r>
  <r>
    <s v="TASK0422"/>
    <s v="Risk Assessment"/>
    <s v="Frank Wilson"/>
    <s v="Finance"/>
    <d v="2025-02-16T00:00:00"/>
    <d v="2025-03-13T00:00:00"/>
    <d v="2025-03-16T00:00:00"/>
    <s v="Completed"/>
    <x v="1"/>
    <b v="1"/>
    <n v="3"/>
    <n v="1"/>
  </r>
  <r>
    <s v="TASK0423"/>
    <s v="Risk Assessment"/>
    <s v="Emma Brown"/>
    <s v="Sales"/>
    <d v="2025-01-09T00:00:00"/>
    <d v="2025-01-15T00:00:00"/>
    <m/>
    <s v="Cancelled"/>
    <x v="0"/>
    <b v="0"/>
    <n v="0"/>
    <n v="3"/>
  </r>
  <r>
    <s v="TASK0424"/>
    <s v="Dashboard Setup"/>
    <s v="David Lee"/>
    <s v="Operations"/>
    <d v="2025-08-15T00:00:00"/>
    <d v="2025-08-19T00:00:00"/>
    <d v="2025-08-17T00:00:00"/>
    <s v="Completed"/>
    <x v="1"/>
    <b v="0"/>
    <n v="0"/>
    <n v="1"/>
  </r>
  <r>
    <s v="TASK0425"/>
    <s v="Market Analysis"/>
    <s v="Isabella Taylor"/>
    <s v="Operations"/>
    <d v="2026-03-14T00:00:00"/>
    <d v="2026-04-12T00:00:00"/>
    <d v="2026-04-12T00:00:00"/>
    <s v="Completed"/>
    <x v="1"/>
    <b v="0"/>
    <n v="0"/>
    <n v="5"/>
  </r>
  <r>
    <s v="TASK0426"/>
    <s v="System Upgrade"/>
    <s v="Nathan Clark"/>
    <s v="Operations"/>
    <d v="2025-05-06T00:00:00"/>
    <d v="2025-05-20T00:00:00"/>
    <d v="2025-05-26T00:00:00"/>
    <s v="Completed"/>
    <x v="1"/>
    <b v="1"/>
    <n v="6"/>
    <n v="6"/>
  </r>
  <r>
    <s v="TASK0427"/>
    <s v="Client Presentation"/>
    <s v="Maria Harris"/>
    <s v="IT"/>
    <d v="2025-03-25T00:00:00"/>
    <d v="2025-04-16T00:00:00"/>
    <m/>
    <s v="Cancelled"/>
    <x v="0"/>
    <b v="0"/>
    <n v="0"/>
    <n v="4"/>
  </r>
  <r>
    <s v="TASK0428"/>
    <s v="Client Presentation"/>
    <s v="Emma Brown"/>
    <s v="Sales"/>
    <d v="2025-11-18T00:00:00"/>
    <d v="2025-12-09T00:00:00"/>
    <d v="2025-12-11T00:00:00"/>
    <s v="Completed"/>
    <x v="3"/>
    <b v="1"/>
    <n v="2"/>
    <n v="6"/>
  </r>
  <r>
    <s v="TASK0429"/>
    <s v="Performance Review"/>
    <s v="Carol White"/>
    <s v="IT"/>
    <d v="2025-06-30T00:00:00"/>
    <d v="2025-07-12T00:00:00"/>
    <d v="2025-07-13T00:00:00"/>
    <s v="Completed"/>
    <x v="0"/>
    <b v="1"/>
    <n v="1"/>
    <n v="6"/>
  </r>
  <r>
    <s v="TASK0430"/>
    <s v="Stakeholder Report"/>
    <s v="Karen Thomas"/>
    <s v="Finance"/>
    <d v="2025-01-26T00:00:00"/>
    <d v="2025-02-13T00:00:00"/>
    <d v="2025-02-13T00:00:00"/>
    <s v="Completed"/>
    <x v="0"/>
    <b v="0"/>
    <n v="0"/>
    <n v="2"/>
  </r>
  <r>
    <s v="TASK0431"/>
    <s v="Quarterly Report"/>
    <s v="David Lee"/>
    <s v="Operations"/>
    <d v="2025-09-12T00:00:00"/>
    <d v="2025-09-28T00:00:00"/>
    <d v="2025-10-01T00:00:00"/>
    <s v="Completed"/>
    <x v="1"/>
    <b v="1"/>
    <n v="3"/>
    <n v="8"/>
  </r>
  <r>
    <s v="TASK0432"/>
    <s v="System Upgrade"/>
    <s v="Bob Martinez"/>
    <s v="HR"/>
    <d v="2025-05-14T00:00:00"/>
    <d v="2025-06-07T00:00:00"/>
    <m/>
    <s v="Overdue"/>
    <x v="2"/>
    <b v="1"/>
    <n v="18"/>
    <n v="4"/>
  </r>
  <r>
    <s v="TASK0433"/>
    <s v="Security Patch"/>
    <s v="Olivia Lewis"/>
    <s v="Sales"/>
    <d v="2025-11-05T00:00:00"/>
    <d v="2025-12-04T00:00:00"/>
    <m/>
    <s v="In Progress"/>
    <x v="0"/>
    <b v="0"/>
    <n v="0"/>
    <n v="5"/>
  </r>
  <r>
    <s v="TASK0434"/>
    <s v="Policy Update"/>
    <s v="Henry Davis"/>
    <s v="IT"/>
    <d v="2025-08-28T00:00:00"/>
    <d v="2025-09-21T00:00:00"/>
    <d v="2025-09-20T00:00:00"/>
    <s v="Completed"/>
    <x v="2"/>
    <b v="0"/>
    <n v="0"/>
    <n v="4"/>
  </r>
  <r>
    <s v="TASK0435"/>
    <s v="Contract Negotiation"/>
    <s v="Grace Chen"/>
    <s v="HR"/>
    <d v="2025-04-30T00:00:00"/>
    <d v="2025-05-09T00:00:00"/>
    <m/>
    <s v="Cancelled"/>
    <x v="3"/>
    <b v="0"/>
    <n v="0"/>
    <n v="7"/>
  </r>
  <r>
    <s v="TASK0436"/>
    <s v="Data Migration"/>
    <s v="Alice Johnson"/>
    <s v="Finance"/>
    <d v="2026-01-07T00:00:00"/>
    <d v="2026-01-10T00:00:00"/>
    <d v="2026-01-11T00:00:00"/>
    <s v="Completed"/>
    <x v="2"/>
    <b v="1"/>
    <n v="1"/>
    <n v="4"/>
  </r>
  <r>
    <s v="TASK0437"/>
    <s v="Performance Review"/>
    <s v="Emma Brown"/>
    <s v="Sales"/>
    <d v="2026-03-18T00:00:00"/>
    <d v="2026-03-30T00:00:00"/>
    <d v="2026-03-31T00:00:00"/>
    <s v="Completed"/>
    <x v="2"/>
    <b v="1"/>
    <n v="1"/>
    <n v="5"/>
  </r>
  <r>
    <s v="TASK0438"/>
    <s v="Client Presentation"/>
    <s v="Emma Brown"/>
    <s v="Sales"/>
    <d v="2025-05-12T00:00:00"/>
    <d v="2025-06-04T00:00:00"/>
    <d v="2025-06-07T00:00:00"/>
    <s v="Completed"/>
    <x v="3"/>
    <b v="1"/>
    <n v="3"/>
    <n v="3"/>
  </r>
  <r>
    <s v="TASK0439"/>
    <s v="Product Launch"/>
    <s v="Olivia Lewis"/>
    <s v="Sales"/>
    <d v="2026-02-24T00:00:00"/>
    <d v="2026-03-07T00:00:00"/>
    <d v="2026-03-05T00:00:00"/>
    <s v="Completed"/>
    <x v="1"/>
    <b v="0"/>
    <n v="0"/>
    <n v="8"/>
  </r>
  <r>
    <s v="TASK0440"/>
    <s v="Stakeholder Report"/>
    <s v="Liam Jackson"/>
    <s v="HR"/>
    <d v="2025-03-18T00:00:00"/>
    <d v="2025-04-01T00:00:00"/>
    <m/>
    <s v="Overdue"/>
    <x v="0"/>
    <b v="1"/>
    <n v="3"/>
    <n v="5"/>
  </r>
  <r>
    <s v="TASK0441"/>
    <s v="Code Review"/>
    <s v="Liam Jackson"/>
    <s v="HR"/>
    <d v="2025-08-10T00:00:00"/>
    <d v="2025-08-15T00:00:00"/>
    <d v="2025-08-22T00:00:00"/>
    <s v="Completed"/>
    <x v="1"/>
    <b v="1"/>
    <n v="7"/>
    <n v="1"/>
  </r>
  <r>
    <s v="TASK0442"/>
    <s v="Vendor Evaluation"/>
    <s v="Olivia Lewis"/>
    <s v="Sales"/>
    <d v="2025-03-02T00:00:00"/>
    <d v="2025-03-05T00:00:00"/>
    <d v="2025-03-09T00:00:00"/>
    <s v="Completed"/>
    <x v="0"/>
    <b v="1"/>
    <n v="4"/>
    <n v="3"/>
  </r>
  <r>
    <s v="TASK0443"/>
    <s v="Stakeholder Report"/>
    <s v="Liam Jackson"/>
    <s v="HR"/>
    <d v="2025-06-06T00:00:00"/>
    <d v="2025-06-11T00:00:00"/>
    <m/>
    <s v="In Progress"/>
    <x v="0"/>
    <b v="0"/>
    <n v="0"/>
    <n v="6"/>
  </r>
  <r>
    <s v="TASK0444"/>
    <s v="Vendor Evaluation"/>
    <s v="Liam Jackson"/>
    <s v="HR"/>
    <d v="2025-07-21T00:00:00"/>
    <d v="2025-08-05T00:00:00"/>
    <d v="2025-08-05T00:00:00"/>
    <s v="Completed"/>
    <x v="0"/>
    <b v="0"/>
    <n v="0"/>
    <n v="3"/>
  </r>
  <r>
    <s v="TASK0445"/>
    <s v="Team Meeting"/>
    <s v="Olivia Lewis"/>
    <s v="Sales"/>
    <d v="2025-05-02T00:00:00"/>
    <d v="2025-05-28T00:00:00"/>
    <m/>
    <s v="Overdue"/>
    <x v="0"/>
    <b v="1"/>
    <n v="17"/>
    <n v="4"/>
  </r>
  <r>
    <s v="TASK0446"/>
    <s v="Budget Review"/>
    <s v="Nathan Clark"/>
    <s v="Operations"/>
    <d v="2025-07-07T00:00:00"/>
    <d v="2025-07-22T00:00:00"/>
    <d v="2025-07-22T00:00:00"/>
    <s v="Completed"/>
    <x v="2"/>
    <b v="0"/>
    <n v="0"/>
    <n v="5"/>
  </r>
  <r>
    <s v="TASK0447"/>
    <s v="Contract Negotiation"/>
    <s v="Frank Wilson"/>
    <s v="Finance"/>
    <d v="2025-09-12T00:00:00"/>
    <d v="2025-09-29T00:00:00"/>
    <d v="2025-10-01T00:00:00"/>
    <s v="Completed"/>
    <x v="2"/>
    <b v="1"/>
    <n v="2"/>
    <n v="6"/>
  </r>
  <r>
    <s v="TASK0448"/>
    <s v="Quarterly Report"/>
    <s v="Henry Davis"/>
    <s v="IT"/>
    <d v="2025-12-20T00:00:00"/>
    <d v="2026-01-05T00:00:00"/>
    <m/>
    <s v="Cancelled"/>
    <x v="2"/>
    <b v="0"/>
    <n v="0"/>
    <n v="9"/>
  </r>
  <r>
    <s v="TASK0449"/>
    <s v="Product Launch"/>
    <s v="Olivia Lewis"/>
    <s v="Sales"/>
    <d v="2025-09-09T00:00:00"/>
    <d v="2025-09-16T00:00:00"/>
    <d v="2025-09-16T00:00:00"/>
    <s v="Completed"/>
    <x v="1"/>
    <b v="0"/>
    <n v="0"/>
    <n v="10"/>
  </r>
  <r>
    <s v="TASK0450"/>
    <s v="Code Review"/>
    <s v="Maria Harris"/>
    <s v="IT"/>
    <d v="2026-02-28T00:00:00"/>
    <d v="2026-03-06T00:00:00"/>
    <d v="2026-03-07T00:00:00"/>
    <s v="Completed"/>
    <x v="0"/>
    <b v="1"/>
    <n v="1"/>
    <n v="2"/>
  </r>
  <r>
    <s v="TASK0451"/>
    <s v="Training Session"/>
    <s v="Isabella Taylor"/>
    <s v="Operations"/>
    <d v="2025-03-23T00:00:00"/>
    <d v="2025-04-17T00:00:00"/>
    <d v="2025-04-15T00:00:00"/>
    <s v="Completed"/>
    <x v="0"/>
    <b v="0"/>
    <n v="0"/>
    <n v="4"/>
  </r>
  <r>
    <s v="TASK0452"/>
    <s v="Vendor Evaluation"/>
    <s v="Bob Martinez"/>
    <s v="HR"/>
    <d v="2025-06-20T00:00:00"/>
    <d v="2025-06-26T00:00:00"/>
    <d v="2025-06-27T00:00:00"/>
    <s v="Completed"/>
    <x v="0"/>
    <b v="1"/>
    <n v="1"/>
    <n v="1"/>
  </r>
  <r>
    <s v="TASK0453"/>
    <s v="Compliance Audit"/>
    <s v="Olivia Lewis"/>
    <s v="Sales"/>
    <d v="2025-02-24T00:00:00"/>
    <d v="2025-03-14T00:00:00"/>
    <d v="2025-03-15T00:00:00"/>
    <s v="Completed"/>
    <x v="1"/>
    <b v="1"/>
    <n v="1"/>
    <n v="3"/>
  </r>
  <r>
    <s v="TASK0454"/>
    <s v="System Upgrade"/>
    <s v="Karen Thomas"/>
    <s v="Finance"/>
    <d v="2025-11-21T00:00:00"/>
    <d v="2025-12-20T00:00:00"/>
    <d v="2025-12-25T00:00:00"/>
    <s v="Completed"/>
    <x v="0"/>
    <b v="1"/>
    <n v="5"/>
    <n v="8"/>
  </r>
  <r>
    <s v="TASK0455"/>
    <s v="Code Review"/>
    <s v="Grace Chen"/>
    <s v="HR"/>
    <d v="2026-02-19T00:00:00"/>
    <d v="2026-02-24T00:00:00"/>
    <d v="2026-03-02T00:00:00"/>
    <s v="Completed"/>
    <x v="1"/>
    <b v="1"/>
    <n v="6"/>
    <n v="8"/>
  </r>
  <r>
    <s v="TASK0456"/>
    <s v="Compliance Audit"/>
    <s v="Bob Martinez"/>
    <s v="HR"/>
    <d v="2025-05-27T00:00:00"/>
    <d v="2025-06-08T00:00:00"/>
    <m/>
    <s v="Cancelled"/>
    <x v="1"/>
    <b v="0"/>
    <n v="0"/>
    <n v="4"/>
  </r>
  <r>
    <s v="TASK0457"/>
    <s v="Training Session"/>
    <s v="Karen Thomas"/>
    <s v="Finance"/>
    <d v="2026-02-09T00:00:00"/>
    <d v="2026-03-07T00:00:00"/>
    <d v="2026-03-07T00:00:00"/>
    <s v="Completed"/>
    <x v="0"/>
    <b v="0"/>
    <n v="0"/>
    <n v="5"/>
  </r>
  <r>
    <s v="TASK0458"/>
    <s v="System Upgrade"/>
    <s v="Henry Davis"/>
    <s v="IT"/>
    <d v="2025-10-22T00:00:00"/>
    <d v="2025-10-27T00:00:00"/>
    <d v="2025-10-28T00:00:00"/>
    <s v="Completed"/>
    <x v="3"/>
    <b v="1"/>
    <n v="1"/>
    <n v="8"/>
  </r>
  <r>
    <s v="TASK0459"/>
    <s v="Stakeholder Report"/>
    <s v="Isabella Taylor"/>
    <s v="Operations"/>
    <d v="2025-12-03T00:00:00"/>
    <d v="2025-12-16T00:00:00"/>
    <m/>
    <s v="Cancelled"/>
    <x v="3"/>
    <b v="0"/>
    <n v="0"/>
    <n v="7"/>
  </r>
  <r>
    <s v="TASK0460"/>
    <s v="Performance Review"/>
    <s v="Nathan Clark"/>
    <s v="Operations"/>
    <d v="2026-01-27T00:00:00"/>
    <d v="2026-02-13T00:00:00"/>
    <d v="2026-02-15T00:00:00"/>
    <s v="Completed"/>
    <x v="2"/>
    <b v="1"/>
    <n v="2"/>
    <n v="10"/>
  </r>
  <r>
    <s v="TASK0461"/>
    <s v="Data Migration"/>
    <s v="Emma Brown"/>
    <s v="Sales"/>
    <d v="2025-10-27T00:00:00"/>
    <d v="2025-11-09T00:00:00"/>
    <d v="2025-11-08T00:00:00"/>
    <s v="Completed"/>
    <x v="3"/>
    <b v="0"/>
    <n v="0"/>
    <n v="6"/>
  </r>
  <r>
    <s v="TASK0462"/>
    <s v="Performance Review"/>
    <s v="Carol White"/>
    <s v="IT"/>
    <d v="2025-04-21T00:00:00"/>
    <d v="2025-05-03T00:00:00"/>
    <m/>
    <s v="In Progress"/>
    <x v="2"/>
    <b v="0"/>
    <n v="0"/>
    <n v="4"/>
  </r>
  <r>
    <s v="TASK0463"/>
    <s v="Data Migration"/>
    <s v="Karen Thomas"/>
    <s v="Finance"/>
    <d v="2025-09-22T00:00:00"/>
    <d v="2025-10-02T00:00:00"/>
    <d v="2025-10-09T00:00:00"/>
    <s v="Completed"/>
    <x v="0"/>
    <b v="1"/>
    <n v="7"/>
    <n v="6"/>
  </r>
  <r>
    <s v="TASK0464"/>
    <s v="Performance Review"/>
    <s v="Emma Brown"/>
    <s v="Sales"/>
    <d v="2025-01-27T00:00:00"/>
    <d v="2025-02-18T00:00:00"/>
    <m/>
    <s v="Overdue"/>
    <x v="1"/>
    <b v="1"/>
    <n v="9"/>
    <n v="6"/>
  </r>
  <r>
    <s v="TASK0465"/>
    <s v="Quarterly Report"/>
    <s v="Olivia Lewis"/>
    <s v="Sales"/>
    <d v="2025-02-11T00:00:00"/>
    <d v="2025-02-25T00:00:00"/>
    <d v="2025-02-28T00:00:00"/>
    <s v="Completed"/>
    <x v="1"/>
    <b v="1"/>
    <n v="3"/>
    <n v="7"/>
  </r>
  <r>
    <s v="TASK0466"/>
    <s v="Budget Review"/>
    <s v="Alice Johnson"/>
    <s v="Finance"/>
    <d v="2025-11-22T00:00:00"/>
    <d v="2025-12-17T00:00:00"/>
    <d v="2025-12-23T00:00:00"/>
    <s v="Completed"/>
    <x v="0"/>
    <b v="1"/>
    <n v="6"/>
    <n v="2"/>
  </r>
  <r>
    <s v="TASK0467"/>
    <s v="Training Session"/>
    <s v="Isabella Taylor"/>
    <s v="Operations"/>
    <d v="2026-01-15T00:00:00"/>
    <d v="2026-02-01T00:00:00"/>
    <m/>
    <s v="Overdue"/>
    <x v="0"/>
    <b v="1"/>
    <n v="17"/>
    <n v="7"/>
  </r>
  <r>
    <s v="TASK0468"/>
    <s v="Team Meeting"/>
    <s v="Alice Johnson"/>
    <s v="Finance"/>
    <d v="2026-01-23T00:00:00"/>
    <d v="2026-02-15T00:00:00"/>
    <d v="2026-02-19T00:00:00"/>
    <s v="Completed"/>
    <x v="0"/>
    <b v="1"/>
    <n v="4"/>
    <n v="1"/>
  </r>
  <r>
    <s v="TASK0469"/>
    <s v="Security Patch"/>
    <s v="Henry Davis"/>
    <s v="IT"/>
    <d v="2025-11-13T00:00:00"/>
    <d v="2025-11-24T00:00:00"/>
    <d v="2025-11-24T00:00:00"/>
    <s v="Completed"/>
    <x v="2"/>
    <b v="0"/>
    <n v="0"/>
    <n v="5"/>
  </r>
  <r>
    <s v="TASK0470"/>
    <s v="Budget Review"/>
    <s v="Karen Thomas"/>
    <s v="Finance"/>
    <d v="2025-03-31T00:00:00"/>
    <d v="2025-04-10T00:00:00"/>
    <m/>
    <s v="Overdue"/>
    <x v="1"/>
    <b v="1"/>
    <n v="6"/>
    <n v="1"/>
  </r>
  <r>
    <s v="TASK0471"/>
    <s v="Client Presentation"/>
    <s v="Carol White"/>
    <s v="IT"/>
    <d v="2025-05-19T00:00:00"/>
    <d v="2025-06-07T00:00:00"/>
    <m/>
    <s v="In Progress"/>
    <x v="0"/>
    <b v="0"/>
    <n v="0"/>
    <n v="10"/>
  </r>
  <r>
    <s v="TASK0472"/>
    <s v="Quarterly Report"/>
    <s v="Emma Brown"/>
    <s v="Sales"/>
    <d v="2026-02-09T00:00:00"/>
    <d v="2026-02-12T00:00:00"/>
    <m/>
    <s v="In Progress"/>
    <x v="3"/>
    <b v="0"/>
    <n v="0"/>
    <n v="7"/>
  </r>
  <r>
    <s v="TASK0473"/>
    <s v="Client Presentation"/>
    <s v="Olivia Lewis"/>
    <s v="Sales"/>
    <d v="2025-08-01T00:00:00"/>
    <d v="2025-08-10T00:00:00"/>
    <m/>
    <s v="Overdue"/>
    <x v="1"/>
    <b v="1"/>
    <n v="10"/>
    <n v="8"/>
  </r>
  <r>
    <s v="TASK0474"/>
    <s v="Training Session"/>
    <s v="Nathan Clark"/>
    <s v="Operations"/>
    <d v="2025-07-14T00:00:00"/>
    <d v="2025-07-24T00:00:00"/>
    <d v="2025-07-27T00:00:00"/>
    <s v="Completed"/>
    <x v="2"/>
    <b v="1"/>
    <n v="3"/>
    <n v="5"/>
  </r>
  <r>
    <s v="TASK0475"/>
    <s v="Performance Review"/>
    <s v="James Anderson"/>
    <s v="Sales"/>
    <d v="2025-06-23T00:00:00"/>
    <d v="2025-06-26T00:00:00"/>
    <d v="2025-06-25T00:00:00"/>
    <s v="Completed"/>
    <x v="1"/>
    <b v="0"/>
    <n v="0"/>
    <n v="9"/>
  </r>
  <r>
    <s v="TASK0476"/>
    <s v="System Upgrade"/>
    <s v="Liam Jackson"/>
    <s v="HR"/>
    <d v="2025-12-10T00:00:00"/>
    <d v="2026-01-04T00:00:00"/>
    <d v="2026-01-06T00:00:00"/>
    <s v="Completed"/>
    <x v="2"/>
    <b v="1"/>
    <n v="2"/>
    <n v="4"/>
  </r>
  <r>
    <s v="TASK0477"/>
    <s v="Quarterly Report"/>
    <s v="James Anderson"/>
    <s v="Sales"/>
    <d v="2025-07-01T00:00:00"/>
    <d v="2025-07-24T00:00:00"/>
    <d v="2025-07-22T00:00:00"/>
    <s v="Completed"/>
    <x v="3"/>
    <b v="0"/>
    <n v="0"/>
    <n v="10"/>
  </r>
  <r>
    <s v="TASK0478"/>
    <s v="System Upgrade"/>
    <s v="Emma Brown"/>
    <s v="Sales"/>
    <d v="2025-03-31T00:00:00"/>
    <d v="2025-04-06T00:00:00"/>
    <d v="2025-04-09T00:00:00"/>
    <s v="Completed"/>
    <x v="1"/>
    <b v="1"/>
    <n v="3"/>
    <n v="3"/>
  </r>
  <r>
    <s v="TASK0479"/>
    <s v="Compliance Audit"/>
    <s v="Grace Chen"/>
    <s v="HR"/>
    <d v="2026-01-08T00:00:00"/>
    <d v="2026-01-19T00:00:00"/>
    <d v="2026-01-18T00:00:00"/>
    <s v="Completed"/>
    <x v="0"/>
    <b v="0"/>
    <n v="0"/>
    <n v="5"/>
  </r>
  <r>
    <s v="TASK0480"/>
    <s v="Policy Update"/>
    <s v="Liam Jackson"/>
    <s v="HR"/>
    <d v="2025-06-16T00:00:00"/>
    <d v="2025-07-04T00:00:00"/>
    <m/>
    <s v="Overdue"/>
    <x v="0"/>
    <b v="1"/>
    <n v="11"/>
    <n v="5"/>
  </r>
  <r>
    <s v="TASK0481"/>
    <s v="Product Launch"/>
    <s v="James Anderson"/>
    <s v="Sales"/>
    <d v="2025-11-24T00:00:00"/>
    <d v="2025-12-22T00:00:00"/>
    <d v="2025-12-22T00:00:00"/>
    <s v="Completed"/>
    <x v="2"/>
    <b v="0"/>
    <n v="0"/>
    <n v="1"/>
  </r>
  <r>
    <s v="TASK0482"/>
    <s v="Security Patch"/>
    <s v="Alice Johnson"/>
    <s v="Finance"/>
    <d v="2026-01-11T00:00:00"/>
    <d v="2026-01-16T00:00:00"/>
    <m/>
    <s v="Overdue"/>
    <x v="3"/>
    <b v="1"/>
    <n v="2"/>
    <n v="8"/>
  </r>
  <r>
    <s v="TASK0483"/>
    <s v="Security Patch"/>
    <s v="Emma Brown"/>
    <s v="Sales"/>
    <d v="2025-04-16T00:00:00"/>
    <d v="2025-05-01T00:00:00"/>
    <m/>
    <s v="Overdue"/>
    <x v="3"/>
    <b v="1"/>
    <n v="11"/>
    <n v="1"/>
  </r>
  <r>
    <s v="TASK0484"/>
    <s v="Quarterly Report"/>
    <s v="Liam Jackson"/>
    <s v="HR"/>
    <d v="2025-08-14T00:00:00"/>
    <d v="2025-09-10T00:00:00"/>
    <d v="2025-09-17T00:00:00"/>
    <s v="Completed"/>
    <x v="0"/>
    <b v="1"/>
    <n v="7"/>
    <n v="5"/>
  </r>
  <r>
    <s v="TASK0485"/>
    <s v="Data Migration"/>
    <s v="Grace Chen"/>
    <s v="HR"/>
    <d v="2025-08-03T00:00:00"/>
    <d v="2025-08-08T00:00:00"/>
    <d v="2025-08-14T00:00:00"/>
    <s v="Completed"/>
    <x v="1"/>
    <b v="1"/>
    <n v="6"/>
    <n v="2"/>
  </r>
  <r>
    <s v="TASK0486"/>
    <s v="Policy Update"/>
    <s v="Bob Martinez"/>
    <s v="HR"/>
    <d v="2025-07-08T00:00:00"/>
    <d v="2025-07-12T00:00:00"/>
    <d v="2025-07-13T00:00:00"/>
    <s v="Completed"/>
    <x v="0"/>
    <b v="1"/>
    <n v="1"/>
    <n v="7"/>
  </r>
  <r>
    <s v="TASK0487"/>
    <s v="Vendor Evaluation"/>
    <s v="Frank Wilson"/>
    <s v="Finance"/>
    <d v="2025-05-18T00:00:00"/>
    <d v="2025-06-10T00:00:00"/>
    <d v="2025-06-10T00:00:00"/>
    <s v="Completed"/>
    <x v="0"/>
    <b v="0"/>
    <n v="0"/>
    <n v="6"/>
  </r>
  <r>
    <s v="TASK0488"/>
    <s v="Client Presentation"/>
    <s v="Maria Harris"/>
    <s v="IT"/>
    <d v="2025-09-28T00:00:00"/>
    <d v="2025-10-16T00:00:00"/>
    <m/>
    <s v="Overdue"/>
    <x v="2"/>
    <b v="1"/>
    <n v="3"/>
    <n v="4"/>
  </r>
  <r>
    <s v="TASK0489"/>
    <s v="Process Improvement"/>
    <s v="Grace Chen"/>
    <s v="HR"/>
    <d v="2025-03-09T00:00:00"/>
    <d v="2025-03-27T00:00:00"/>
    <d v="2025-03-25T00:00:00"/>
    <s v="Completed"/>
    <x v="1"/>
    <b v="0"/>
    <n v="0"/>
    <n v="7"/>
  </r>
  <r>
    <s v="TASK0490"/>
    <s v="Data Migration"/>
    <s v="Bob Martinez"/>
    <s v="HR"/>
    <d v="2025-01-21T00:00:00"/>
    <d v="2025-02-02T00:00:00"/>
    <m/>
    <s v="Cancelled"/>
    <x v="0"/>
    <b v="0"/>
    <n v="0"/>
    <n v="1"/>
  </r>
  <r>
    <s v="TASK0491"/>
    <s v="Dashboard Setup"/>
    <s v="Liam Jackson"/>
    <s v="HR"/>
    <d v="2026-01-15T00:00:00"/>
    <d v="2026-01-27T00:00:00"/>
    <m/>
    <s v="In Progress"/>
    <x v="3"/>
    <b v="0"/>
    <n v="0"/>
    <n v="4"/>
  </r>
  <r>
    <s v="TASK0492"/>
    <s v="Market Analysis"/>
    <s v="Isabella Taylor"/>
    <s v="Operations"/>
    <d v="2025-04-26T00:00:00"/>
    <d v="2025-05-09T00:00:00"/>
    <m/>
    <s v="Cancelled"/>
    <x v="0"/>
    <b v="0"/>
    <n v="0"/>
    <n v="1"/>
  </r>
  <r>
    <s v="TASK0493"/>
    <s v="Training Session"/>
    <s v="Carol White"/>
    <s v="IT"/>
    <d v="2025-04-10T00:00:00"/>
    <d v="2025-05-04T00:00:00"/>
    <m/>
    <s v="In Progress"/>
    <x v="2"/>
    <b v="0"/>
    <n v="0"/>
    <n v="7"/>
  </r>
  <r>
    <s v="TASK0494"/>
    <s v="Client Presentation"/>
    <s v="Karen Thomas"/>
    <s v="Finance"/>
    <d v="2025-04-22T00:00:00"/>
    <d v="2025-05-09T00:00:00"/>
    <m/>
    <s v="Overdue"/>
    <x v="1"/>
    <b v="1"/>
    <n v="11"/>
    <n v="8"/>
  </r>
  <r>
    <s v="TASK0495"/>
    <s v="Product Launch"/>
    <s v="Liam Jackson"/>
    <s v="HR"/>
    <d v="2025-11-03T00:00:00"/>
    <d v="2025-11-30T00:00:00"/>
    <m/>
    <s v="Cancelled"/>
    <x v="2"/>
    <b v="0"/>
    <n v="0"/>
    <n v="3"/>
  </r>
  <r>
    <s v="TASK0496"/>
    <s v="Risk Assessment"/>
    <s v="Olivia Lewis"/>
    <s v="Sales"/>
    <d v="2025-06-06T00:00:00"/>
    <d v="2025-06-11T00:00:00"/>
    <d v="2025-06-12T00:00:00"/>
    <s v="Completed"/>
    <x v="0"/>
    <b v="1"/>
    <n v="1"/>
    <n v="10"/>
  </r>
  <r>
    <s v="TASK0497"/>
    <s v="Code Review"/>
    <s v="David Lee"/>
    <s v="Operations"/>
    <d v="2025-12-10T00:00:00"/>
    <d v="2025-12-16T00:00:00"/>
    <d v="2025-12-14T00:00:00"/>
    <s v="Completed"/>
    <x v="0"/>
    <b v="0"/>
    <n v="0"/>
    <n v="9"/>
  </r>
  <r>
    <s v="TASK0498"/>
    <s v="Code Review"/>
    <s v="Carol White"/>
    <s v="IT"/>
    <d v="2026-02-22T00:00:00"/>
    <d v="2026-03-16T00:00:00"/>
    <d v="2026-03-15T00:00:00"/>
    <s v="Completed"/>
    <x v="0"/>
    <b v="0"/>
    <n v="0"/>
    <n v="2"/>
  </r>
  <r>
    <s v="TASK0499"/>
    <s v="Dashboard Setup"/>
    <s v="Bob Martinez"/>
    <s v="HR"/>
    <d v="2025-01-27T00:00:00"/>
    <d v="2025-02-21T00:00:00"/>
    <m/>
    <s v="In Progress"/>
    <x v="0"/>
    <b v="0"/>
    <n v="0"/>
    <n v="3"/>
  </r>
  <r>
    <s v="TASK0500"/>
    <s v="Code Review"/>
    <s v="Nathan Clark"/>
    <s v="Operations"/>
    <d v="2025-11-10T00:00:00"/>
    <d v="2025-11-18T00:00:00"/>
    <d v="2025-11-25T00:00:00"/>
    <s v="Completed"/>
    <x v="0"/>
    <b v="1"/>
    <n v="7"/>
    <n v="8"/>
  </r>
  <r>
    <s v="TASK0501"/>
    <s v="Vendor Evaluation"/>
    <s v="Alice Johnson"/>
    <s v="Finance"/>
    <d v="2025-12-07T00:00:00"/>
    <d v="2025-12-20T00:00:00"/>
    <d v="2025-12-27T00:00:00"/>
    <s v="Completed"/>
    <x v="0"/>
    <b v="1"/>
    <n v="7"/>
    <n v="6"/>
  </r>
  <r>
    <s v="TASK0502"/>
    <s v="Compliance Audit"/>
    <s v="Henry Davis"/>
    <s v="IT"/>
    <d v="2025-08-05T00:00:00"/>
    <d v="2025-08-30T00:00:00"/>
    <d v="2025-09-02T00:00:00"/>
    <s v="Completed"/>
    <x v="2"/>
    <b v="1"/>
    <n v="3"/>
    <n v="2"/>
  </r>
  <r>
    <s v="TASK0503"/>
    <s v="Dashboard Setup"/>
    <s v="Alice Johnson"/>
    <s v="Finance"/>
    <d v="2025-09-21T00:00:00"/>
    <d v="2025-10-03T00:00:00"/>
    <m/>
    <s v="In Progress"/>
    <x v="0"/>
    <b v="0"/>
    <n v="0"/>
    <n v="1"/>
  </r>
  <r>
    <s v="TASK0504"/>
    <s v="Dashboard Setup"/>
    <s v="James Anderson"/>
    <s v="Sales"/>
    <d v="2025-12-26T00:00:00"/>
    <d v="2026-01-14T00:00:00"/>
    <m/>
    <s v="In Progress"/>
    <x v="0"/>
    <b v="0"/>
    <n v="0"/>
    <n v="3"/>
  </r>
  <r>
    <s v="TASK0505"/>
    <s v="System Upgrade"/>
    <s v="Olivia Lewis"/>
    <s v="Sales"/>
    <d v="2025-05-03T00:00:00"/>
    <d v="2025-05-28T00:00:00"/>
    <d v="2025-05-31T00:00:00"/>
    <s v="Completed"/>
    <x v="0"/>
    <b v="1"/>
    <n v="3"/>
    <n v="6"/>
  </r>
  <r>
    <s v="TASK0506"/>
    <s v="Performance Review"/>
    <s v="Olivia Lewis"/>
    <s v="Sales"/>
    <d v="2025-09-24T00:00:00"/>
    <d v="2025-10-01T00:00:00"/>
    <d v="2025-10-01T00:00:00"/>
    <s v="Completed"/>
    <x v="0"/>
    <b v="0"/>
    <n v="0"/>
    <n v="9"/>
  </r>
  <r>
    <s v="TASK0507"/>
    <s v="Market Analysis"/>
    <s v="Alice Johnson"/>
    <s v="Finance"/>
    <d v="2025-09-24T00:00:00"/>
    <d v="2025-10-04T00:00:00"/>
    <m/>
    <s v="In Progress"/>
    <x v="1"/>
    <b v="0"/>
    <n v="0"/>
    <n v="8"/>
  </r>
  <r>
    <s v="TASK0508"/>
    <s v="Security Patch"/>
    <s v="Frank Wilson"/>
    <s v="Finance"/>
    <d v="2025-06-16T00:00:00"/>
    <d v="2025-07-03T00:00:00"/>
    <m/>
    <s v="Overdue"/>
    <x v="0"/>
    <b v="1"/>
    <n v="6"/>
    <n v="1"/>
  </r>
  <r>
    <s v="TASK0509"/>
    <s v="Team Meeting"/>
    <s v="Frank Wilson"/>
    <s v="Finance"/>
    <d v="2025-03-14T00:00:00"/>
    <d v="2025-03-27T00:00:00"/>
    <d v="2025-04-03T00:00:00"/>
    <s v="Completed"/>
    <x v="3"/>
    <b v="1"/>
    <n v="7"/>
    <n v="4"/>
  </r>
  <r>
    <s v="TASK0510"/>
    <s v="System Upgrade"/>
    <s v="Olivia Lewis"/>
    <s v="Sales"/>
    <d v="2025-04-12T00:00:00"/>
    <d v="2025-04-24T00:00:00"/>
    <d v="2025-04-22T00:00:00"/>
    <s v="Completed"/>
    <x v="0"/>
    <b v="0"/>
    <n v="0"/>
    <n v="10"/>
  </r>
  <r>
    <s v="TASK0511"/>
    <s v="Policy Update"/>
    <s v="Maria Harris"/>
    <s v="IT"/>
    <d v="2025-09-16T00:00:00"/>
    <d v="2025-09-21T00:00:00"/>
    <m/>
    <s v="Overdue"/>
    <x v="2"/>
    <b v="1"/>
    <n v="18"/>
    <n v="9"/>
  </r>
  <r>
    <s v="TASK0512"/>
    <s v="Budget Review"/>
    <s v="James Anderson"/>
    <s v="Sales"/>
    <d v="2026-03-11T00:00:00"/>
    <d v="2026-04-07T00:00:00"/>
    <d v="2026-04-14T00:00:00"/>
    <s v="Completed"/>
    <x v="1"/>
    <b v="1"/>
    <n v="7"/>
    <n v="2"/>
  </r>
  <r>
    <s v="TASK0513"/>
    <s v="Client Presentation"/>
    <s v="Nathan Clark"/>
    <s v="Operations"/>
    <d v="2025-12-03T00:00:00"/>
    <d v="2025-12-28T00:00:00"/>
    <m/>
    <s v="In Progress"/>
    <x v="0"/>
    <b v="0"/>
    <n v="0"/>
    <n v="7"/>
  </r>
  <r>
    <s v="TASK0514"/>
    <s v="Dashboard Setup"/>
    <s v="Karen Thomas"/>
    <s v="Finance"/>
    <d v="2026-03-04T00:00:00"/>
    <d v="2026-03-20T00:00:00"/>
    <m/>
    <s v="In Progress"/>
    <x v="3"/>
    <b v="0"/>
    <n v="0"/>
    <n v="5"/>
  </r>
  <r>
    <s v="TASK0515"/>
    <s v="Code Review"/>
    <s v="Maria Harris"/>
    <s v="IT"/>
    <d v="2025-10-24T00:00:00"/>
    <d v="2025-11-21T00:00:00"/>
    <d v="2025-11-19T00:00:00"/>
    <s v="Completed"/>
    <x v="2"/>
    <b v="0"/>
    <n v="0"/>
    <n v="6"/>
  </r>
  <r>
    <s v="TASK0516"/>
    <s v="Process Improvement"/>
    <s v="Henry Davis"/>
    <s v="IT"/>
    <d v="2026-01-28T00:00:00"/>
    <d v="2026-02-03T00:00:00"/>
    <d v="2026-02-03T00:00:00"/>
    <s v="Completed"/>
    <x v="0"/>
    <b v="0"/>
    <n v="0"/>
    <n v="7"/>
  </r>
  <r>
    <s v="TASK0517"/>
    <s v="System Upgrade"/>
    <s v="Bob Martinez"/>
    <s v="HR"/>
    <d v="2025-01-10T00:00:00"/>
    <d v="2025-01-19T00:00:00"/>
    <m/>
    <s v="Overdue"/>
    <x v="2"/>
    <b v="1"/>
    <n v="18"/>
    <n v="4"/>
  </r>
  <r>
    <s v="TASK0518"/>
    <s v="Training Session"/>
    <s v="Isabella Taylor"/>
    <s v="Operations"/>
    <d v="2025-12-30T00:00:00"/>
    <d v="2026-01-11T00:00:00"/>
    <d v="2026-01-16T00:00:00"/>
    <s v="Completed"/>
    <x v="2"/>
    <b v="1"/>
    <n v="5"/>
    <n v="4"/>
  </r>
  <r>
    <s v="TASK0519"/>
    <s v="Code Review"/>
    <s v="James Anderson"/>
    <s v="Sales"/>
    <d v="2025-01-23T00:00:00"/>
    <d v="2025-02-19T00:00:00"/>
    <d v="2025-02-26T00:00:00"/>
    <s v="Completed"/>
    <x v="1"/>
    <b v="1"/>
    <n v="7"/>
    <n v="10"/>
  </r>
  <r>
    <s v="TASK0520"/>
    <s v="Contract Negotiation"/>
    <s v="Maria Harris"/>
    <s v="IT"/>
    <d v="2025-08-20T00:00:00"/>
    <d v="2025-09-10T00:00:00"/>
    <m/>
    <s v="In Progress"/>
    <x v="0"/>
    <b v="0"/>
    <n v="0"/>
    <n v="7"/>
  </r>
  <r>
    <s v="TASK0521"/>
    <s v="Team Meeting"/>
    <s v="Henry Davis"/>
    <s v="IT"/>
    <d v="2025-12-18T00:00:00"/>
    <d v="2025-12-24T00:00:00"/>
    <m/>
    <s v="In Progress"/>
    <x v="1"/>
    <b v="0"/>
    <n v="0"/>
    <n v="1"/>
  </r>
  <r>
    <s v="TASK0522"/>
    <s v="Product Launch"/>
    <s v="Frank Wilson"/>
    <s v="Finance"/>
    <d v="2025-01-01T00:00:00"/>
    <d v="2025-01-15T00:00:00"/>
    <d v="2025-01-18T00:00:00"/>
    <s v="Completed"/>
    <x v="3"/>
    <b v="1"/>
    <n v="3"/>
    <n v="4"/>
  </r>
  <r>
    <s v="TASK0523"/>
    <s v="Performance Review"/>
    <s v="Frank Wilson"/>
    <s v="Finance"/>
    <d v="2025-01-21T00:00:00"/>
    <d v="2025-02-19T00:00:00"/>
    <d v="2025-02-21T00:00:00"/>
    <s v="Completed"/>
    <x v="2"/>
    <b v="1"/>
    <n v="2"/>
    <n v="9"/>
  </r>
  <r>
    <s v="TASK0524"/>
    <s v="Product Launch"/>
    <s v="Carol White"/>
    <s v="IT"/>
    <d v="2025-04-20T00:00:00"/>
    <d v="2025-05-06T00:00:00"/>
    <d v="2025-05-05T00:00:00"/>
    <s v="Completed"/>
    <x v="2"/>
    <b v="0"/>
    <n v="0"/>
    <n v="6"/>
  </r>
  <r>
    <s v="TASK0525"/>
    <s v="Vendor Evaluation"/>
    <s v="James Anderson"/>
    <s v="Sales"/>
    <d v="2026-03-23T00:00:00"/>
    <d v="2026-03-26T00:00:00"/>
    <d v="2026-03-26T00:00:00"/>
    <s v="Completed"/>
    <x v="1"/>
    <b v="0"/>
    <n v="0"/>
    <n v="6"/>
  </r>
  <r>
    <s v="TASK0526"/>
    <s v="Contract Negotiation"/>
    <s v="David Lee"/>
    <s v="Operations"/>
    <d v="2025-10-04T00:00:00"/>
    <d v="2025-10-25T00:00:00"/>
    <d v="2025-10-24T00:00:00"/>
    <s v="Completed"/>
    <x v="0"/>
    <b v="0"/>
    <n v="0"/>
    <n v="9"/>
  </r>
  <r>
    <s v="TASK0527"/>
    <s v="Performance Review"/>
    <s v="Liam Jackson"/>
    <s v="HR"/>
    <d v="2025-08-03T00:00:00"/>
    <d v="2025-08-07T00:00:00"/>
    <m/>
    <s v="In Progress"/>
    <x v="0"/>
    <b v="0"/>
    <n v="0"/>
    <n v="4"/>
  </r>
  <r>
    <s v="TASK0528"/>
    <s v="Performance Review"/>
    <s v="Karen Thomas"/>
    <s v="Finance"/>
    <d v="2025-01-08T00:00:00"/>
    <d v="2025-01-28T00:00:00"/>
    <m/>
    <s v="Cancelled"/>
    <x v="0"/>
    <b v="0"/>
    <n v="0"/>
    <n v="1"/>
  </r>
  <r>
    <s v="TASK0529"/>
    <s v="Product Launch"/>
    <s v="Isabella Taylor"/>
    <s v="Operations"/>
    <d v="2025-03-13T00:00:00"/>
    <d v="2025-04-01T00:00:00"/>
    <m/>
    <s v="Overdue"/>
    <x v="0"/>
    <b v="1"/>
    <n v="5"/>
    <n v="4"/>
  </r>
  <r>
    <s v="TASK0530"/>
    <s v="Code Review"/>
    <s v="Karen Thomas"/>
    <s v="Finance"/>
    <d v="2025-06-21T00:00:00"/>
    <d v="2025-06-24T00:00:00"/>
    <d v="2025-06-24T00:00:00"/>
    <s v="Completed"/>
    <x v="1"/>
    <b v="0"/>
    <n v="0"/>
    <n v="2"/>
  </r>
  <r>
    <s v="TASK0531"/>
    <s v="Quarterly Report"/>
    <s v="Maria Harris"/>
    <s v="IT"/>
    <d v="2025-09-28T00:00:00"/>
    <d v="2025-10-13T00:00:00"/>
    <d v="2025-10-19T00:00:00"/>
    <s v="Completed"/>
    <x v="3"/>
    <b v="1"/>
    <n v="6"/>
    <n v="4"/>
  </r>
  <r>
    <s v="TASK0532"/>
    <s v="Process Improvement"/>
    <s v="Frank Wilson"/>
    <s v="Finance"/>
    <d v="2026-01-20T00:00:00"/>
    <d v="2026-02-12T00:00:00"/>
    <d v="2026-02-16T00:00:00"/>
    <s v="Completed"/>
    <x v="2"/>
    <b v="1"/>
    <n v="4"/>
    <n v="1"/>
  </r>
  <r>
    <s v="TASK0533"/>
    <s v="Data Migration"/>
    <s v="Nathan Clark"/>
    <s v="Operations"/>
    <d v="2025-11-26T00:00:00"/>
    <d v="2025-12-23T00:00:00"/>
    <d v="2025-12-25T00:00:00"/>
    <s v="Completed"/>
    <x v="0"/>
    <b v="1"/>
    <n v="2"/>
    <n v="9"/>
  </r>
  <r>
    <s v="TASK0534"/>
    <s v="Market Analysis"/>
    <s v="Bob Martinez"/>
    <s v="HR"/>
    <d v="2025-07-16T00:00:00"/>
    <d v="2025-07-30T00:00:00"/>
    <m/>
    <s v="Cancelled"/>
    <x v="0"/>
    <b v="0"/>
    <n v="0"/>
    <n v="6"/>
  </r>
  <r>
    <s v="TASK0535"/>
    <s v="Risk Assessment"/>
    <s v="Maria Harris"/>
    <s v="IT"/>
    <d v="2025-01-15T00:00:00"/>
    <d v="2025-01-20T00:00:00"/>
    <m/>
    <s v="Overdue"/>
    <x v="0"/>
    <b v="1"/>
    <n v="3"/>
    <n v="7"/>
  </r>
  <r>
    <s v="TASK0536"/>
    <s v="Budget Review"/>
    <s v="Grace Chen"/>
    <s v="HR"/>
    <d v="2025-06-08T00:00:00"/>
    <d v="2025-06-19T00:00:00"/>
    <m/>
    <s v="In Progress"/>
    <x v="2"/>
    <b v="0"/>
    <n v="0"/>
    <n v="7"/>
  </r>
  <r>
    <s v="TASK0537"/>
    <s v="Dashboard Setup"/>
    <s v="Nathan Clark"/>
    <s v="Operations"/>
    <d v="2025-02-08T00:00:00"/>
    <d v="2025-02-18T00:00:00"/>
    <d v="2025-02-17T00:00:00"/>
    <s v="Completed"/>
    <x v="1"/>
    <b v="0"/>
    <n v="0"/>
    <n v="4"/>
  </r>
  <r>
    <s v="TASK0538"/>
    <s v="Policy Update"/>
    <s v="Henry Davis"/>
    <s v="IT"/>
    <d v="2026-02-16T00:00:00"/>
    <d v="2026-03-15T00:00:00"/>
    <m/>
    <s v="Overdue"/>
    <x v="2"/>
    <b v="1"/>
    <n v="7"/>
    <n v="6"/>
  </r>
  <r>
    <s v="TASK0539"/>
    <s v="Code Review"/>
    <s v="Nathan Clark"/>
    <s v="Operations"/>
    <d v="2026-02-10T00:00:00"/>
    <d v="2026-02-28T00:00:00"/>
    <d v="2026-02-27T00:00:00"/>
    <s v="Completed"/>
    <x v="1"/>
    <b v="0"/>
    <n v="0"/>
    <n v="6"/>
  </r>
  <r>
    <s v="TASK0540"/>
    <s v="Data Migration"/>
    <s v="Grace Chen"/>
    <s v="HR"/>
    <d v="2025-10-29T00:00:00"/>
    <d v="2025-11-07T00:00:00"/>
    <d v="2025-11-14T00:00:00"/>
    <s v="Completed"/>
    <x v="0"/>
    <b v="1"/>
    <n v="7"/>
    <n v="1"/>
  </r>
  <r>
    <s v="TASK0541"/>
    <s v="Contract Negotiation"/>
    <s v="Bob Martinez"/>
    <s v="HR"/>
    <d v="2025-11-11T00:00:00"/>
    <d v="2025-11-28T00:00:00"/>
    <m/>
    <s v="Overdue"/>
    <x v="0"/>
    <b v="1"/>
    <n v="4"/>
    <n v="6"/>
  </r>
  <r>
    <s v="TASK0542"/>
    <s v="Policy Update"/>
    <s v="Grace Chen"/>
    <s v="HR"/>
    <d v="2025-06-19T00:00:00"/>
    <d v="2025-06-27T00:00:00"/>
    <d v="2025-07-02T00:00:00"/>
    <s v="Completed"/>
    <x v="0"/>
    <b v="1"/>
    <n v="5"/>
    <n v="3"/>
  </r>
  <r>
    <s v="TASK0543"/>
    <s v="Stakeholder Report"/>
    <s v="Karen Thomas"/>
    <s v="Finance"/>
    <d v="2025-04-30T00:00:00"/>
    <d v="2025-05-10T00:00:00"/>
    <m/>
    <s v="In Progress"/>
    <x v="0"/>
    <b v="0"/>
    <n v="0"/>
    <n v="3"/>
  </r>
  <r>
    <s v="TASK0544"/>
    <s v="Quarterly Report"/>
    <s v="Maria Harris"/>
    <s v="IT"/>
    <d v="2025-10-27T00:00:00"/>
    <d v="2025-11-03T00:00:00"/>
    <m/>
    <s v="Overdue"/>
    <x v="0"/>
    <b v="1"/>
    <n v="17"/>
    <n v="9"/>
  </r>
  <r>
    <s v="TASK0545"/>
    <s v="Performance Review"/>
    <s v="Bob Martinez"/>
    <s v="HR"/>
    <d v="2025-12-02T00:00:00"/>
    <d v="2025-12-06T00:00:00"/>
    <m/>
    <s v="Overdue"/>
    <x v="0"/>
    <b v="1"/>
    <n v="9"/>
    <n v="10"/>
  </r>
  <r>
    <s v="TASK0546"/>
    <s v="Product Launch"/>
    <s v="Nathan Clark"/>
    <s v="Operations"/>
    <d v="2025-02-17T00:00:00"/>
    <d v="2025-03-12T00:00:00"/>
    <m/>
    <s v="In Progress"/>
    <x v="2"/>
    <b v="0"/>
    <n v="0"/>
    <n v="10"/>
  </r>
  <r>
    <s v="TASK0547"/>
    <s v="Performance Review"/>
    <s v="David Lee"/>
    <s v="Operations"/>
    <d v="2025-09-12T00:00:00"/>
    <d v="2025-09-21T00:00:00"/>
    <d v="2025-09-20T00:00:00"/>
    <s v="Completed"/>
    <x v="1"/>
    <b v="0"/>
    <n v="0"/>
    <n v="10"/>
  </r>
  <r>
    <s v="TASK0548"/>
    <s v="Budget Review"/>
    <s v="Henry Davis"/>
    <s v="IT"/>
    <d v="2025-11-29T00:00:00"/>
    <d v="2025-12-17T00:00:00"/>
    <m/>
    <s v="Overdue"/>
    <x v="1"/>
    <b v="1"/>
    <n v="8"/>
    <n v="7"/>
  </r>
  <r>
    <s v="TASK0549"/>
    <s v="Performance Review"/>
    <s v="Henry Davis"/>
    <s v="IT"/>
    <d v="2025-08-13T00:00:00"/>
    <d v="2025-08-28T00:00:00"/>
    <d v="2025-08-29T00:00:00"/>
    <s v="Completed"/>
    <x v="0"/>
    <b v="1"/>
    <n v="1"/>
    <n v="3"/>
  </r>
  <r>
    <s v="TASK0550"/>
    <s v="Policy Update"/>
    <s v="Isabella Taylor"/>
    <s v="Operations"/>
    <d v="2025-11-09T00:00:00"/>
    <d v="2025-12-02T00:00:00"/>
    <d v="2025-11-30T00:00:00"/>
    <s v="Completed"/>
    <x v="0"/>
    <b v="0"/>
    <n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1BA4-D7DC-468A-BB32-59E701BC8739}" name="PT_Priority" cacheId="14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I1:J6" firstHeaderRow="1" firstDataRow="1" firstDataCol="1"/>
  <pivotFields count="12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ask 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79B50-A149-4E2D-A637-E4E468C4AACE}" name="PT_Status" cacheId="1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E1:F6" firstHeaderRow="1" firstDataRow="1" firstDataCol="1"/>
  <pivotFields count="12"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ask 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10588-CCCE-4552-BE13-1FC4A0F44F69}" name="PT_Department" cacheId="12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A1:B7" firstHeaderRow="1" firstDataRow="1" firstDataCol="1"/>
  <pivotFields count="12">
    <pivotField dataField="1"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ask 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ment" xr10:uid="{524CAE75-8D8F-4A57-AFC3-2B62893670FE}" sourceName="department">
  <pivotTables>
    <pivotTable tabId="2" name="PT_Department"/>
  </pivotTables>
  <data>
    <tabular pivotCacheId="1613155890">
      <items count="5">
        <i x="3" s="1"/>
        <i x="0" s="1"/>
        <i x="1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D1D57444-9066-4B3E-9A4C-FA4ECB0A6D89}" sourceName="status">
  <pivotTables>
    <pivotTable tabId="2" name="PT_Status"/>
  </pivotTables>
  <data>
    <tabular pivotCacheId="555429435">
      <items count="4">
        <i x="3" s="1"/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ty" xr10:uid="{E89A2B7D-B3E5-4B73-9FC1-7F30BFEA6CDF}" sourceName="priority">
  <pivotTables>
    <pivotTable tabId="2" name="PT_Priority"/>
  </pivotTables>
  <data>
    <tabular pivotCacheId="442121285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Slicer" xr10:uid="{9F54291C-A3FF-45AC-9B81-C9641D02D0F9}" cache="SegmentaciónDeDatos_department" caption="DeptSlicer" rowHeight="241300"/>
  <slicer name="StatusSlicer" xr10:uid="{6749960A-64D6-4805-8ABA-209418249F9F}" cache="SegmentaciónDeDatos_status" caption="StatusSlicer" rowHeight="241300"/>
  <slicer name="PrioritySlicer" xr10:uid="{401AAD14-3BC2-436C-877D-0CD1DBB916A9}" cache="SegmentaciónDeDatos_priority" caption="Priority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89377-4180-4011-96EA-AE224F7263F6}" name="TaskData" displayName="TaskData" ref="A1:L551" totalsRowShown="0">
  <autoFilter ref="A1:L551" xr:uid="{50D89377-4180-4011-96EA-AE224F7263F6}"/>
  <tableColumns count="12">
    <tableColumn id="1" xr3:uid="{F2AAD58C-826F-46B9-AA7B-C2928E414D3E}" name="task_id"/>
    <tableColumn id="2" xr3:uid="{5247D9F7-5DF5-4B3F-84FE-AFD7162B8578}" name="task_name"/>
    <tableColumn id="3" xr3:uid="{3D7DB93A-C089-4552-ABBC-C4A283DF748C}" name="assignee"/>
    <tableColumn id="4" xr3:uid="{5E26237D-0592-4F13-B606-7B392F6D7E9D}" name="department"/>
    <tableColumn id="5" xr3:uid="{3DA55302-801B-4359-BA3C-F2A5292E7A8D}" name="assigned_date" dataDxfId="2"/>
    <tableColumn id="6" xr3:uid="{FFDDA7E6-0231-4EC2-81A0-5D5DFDF2310E}" name="due_date" dataDxfId="1"/>
    <tableColumn id="7" xr3:uid="{EA39508E-496F-460F-AAF5-D10D790FCA88}" name="completion_date" dataDxfId="0"/>
    <tableColumn id="8" xr3:uid="{558E2F98-D57D-47D9-8EB8-CC9FDD2F09EB}" name="status"/>
    <tableColumn id="9" xr3:uid="{6BD9D589-CEF0-4109-A10D-966A7389C736}" name="priority"/>
    <tableColumn id="10" xr3:uid="{2C8972E7-4819-46DA-B0B2-A2848BAAF2FF}" name="is_overdue"/>
    <tableColumn id="11" xr3:uid="{62E9E71D-001F-4170-82E0-4AEBA2712CD2}" name="days_overdue"/>
    <tableColumn id="12" xr3:uid="{5F8B6BEF-EEB3-4E6C-954A-D2764BE9E86C}" name="s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1279-2CED-494E-A4DA-7AB896D7C0E4}">
  <dimension ref="A1:L551"/>
  <sheetViews>
    <sheetView tabSelected="1" workbookViewId="0"/>
  </sheetViews>
  <sheetFormatPr baseColWidth="10" defaultRowHeight="15" x14ac:dyDescent="0.25"/>
  <cols>
    <col min="2" max="2" width="12.7109375" customWidth="1"/>
    <col min="4" max="4" width="13.7109375" customWidth="1"/>
    <col min="5" max="5" width="15.85546875" customWidth="1"/>
    <col min="6" max="6" width="11.5703125" customWidth="1"/>
    <col min="7" max="7" width="18.28515625" customWidth="1"/>
    <col min="10" max="10" width="13" customWidth="1"/>
    <col min="11" max="11" width="15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1">
        <v>45971</v>
      </c>
      <c r="F2" s="1">
        <v>45979</v>
      </c>
      <c r="H2" t="s">
        <v>16</v>
      </c>
      <c r="I2" t="s">
        <v>17</v>
      </c>
      <c r="J2" t="b">
        <v>1</v>
      </c>
      <c r="K2">
        <v>2</v>
      </c>
      <c r="L2">
        <v>8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s="1">
        <v>45715</v>
      </c>
      <c r="F3" s="1">
        <v>45740</v>
      </c>
      <c r="H3" t="s">
        <v>16</v>
      </c>
      <c r="I3" t="s">
        <v>17</v>
      </c>
      <c r="J3" t="b">
        <v>1</v>
      </c>
      <c r="K3">
        <v>9</v>
      </c>
      <c r="L3">
        <v>10</v>
      </c>
    </row>
    <row r="4" spans="1:12" x14ac:dyDescent="0.25">
      <c r="A4" t="s">
        <v>22</v>
      </c>
      <c r="B4" t="s">
        <v>23</v>
      </c>
      <c r="C4" t="s">
        <v>20</v>
      </c>
      <c r="D4" t="s">
        <v>21</v>
      </c>
      <c r="E4" s="1">
        <v>46028</v>
      </c>
      <c r="F4" s="1">
        <v>46045</v>
      </c>
      <c r="H4" t="s">
        <v>24</v>
      </c>
      <c r="I4" t="s">
        <v>25</v>
      </c>
      <c r="J4" t="b">
        <v>0</v>
      </c>
      <c r="K4">
        <v>0</v>
      </c>
      <c r="L4">
        <v>4</v>
      </c>
    </row>
    <row r="5" spans="1:12" x14ac:dyDescent="0.25">
      <c r="A5" t="s">
        <v>26</v>
      </c>
      <c r="B5" t="s">
        <v>13</v>
      </c>
      <c r="C5" t="s">
        <v>27</v>
      </c>
      <c r="D5" t="s">
        <v>15</v>
      </c>
      <c r="E5" s="1">
        <v>46044</v>
      </c>
      <c r="F5" s="1">
        <v>46069</v>
      </c>
      <c r="H5" t="s">
        <v>24</v>
      </c>
      <c r="I5" t="s">
        <v>28</v>
      </c>
      <c r="J5" t="b">
        <v>0</v>
      </c>
      <c r="K5">
        <v>0</v>
      </c>
      <c r="L5">
        <v>9</v>
      </c>
    </row>
    <row r="6" spans="1:12" x14ac:dyDescent="0.25">
      <c r="A6" t="s">
        <v>29</v>
      </c>
      <c r="B6" t="s">
        <v>13</v>
      </c>
      <c r="C6" t="s">
        <v>30</v>
      </c>
      <c r="D6" t="s">
        <v>31</v>
      </c>
      <c r="E6" s="1">
        <v>46094</v>
      </c>
      <c r="F6" s="1">
        <v>46109</v>
      </c>
      <c r="G6" s="1">
        <v>46115</v>
      </c>
      <c r="H6" t="s">
        <v>32</v>
      </c>
      <c r="I6" t="s">
        <v>17</v>
      </c>
      <c r="J6" t="b">
        <v>1</v>
      </c>
      <c r="K6">
        <v>6</v>
      </c>
      <c r="L6">
        <v>7</v>
      </c>
    </row>
    <row r="7" spans="1:12" x14ac:dyDescent="0.25">
      <c r="A7" t="s">
        <v>33</v>
      </c>
      <c r="B7" t="s">
        <v>34</v>
      </c>
      <c r="C7" t="s">
        <v>35</v>
      </c>
      <c r="D7" t="s">
        <v>36</v>
      </c>
      <c r="E7" s="1">
        <v>45677</v>
      </c>
      <c r="F7" s="1">
        <v>45694</v>
      </c>
      <c r="G7" s="1">
        <v>45693</v>
      </c>
      <c r="H7" t="s">
        <v>32</v>
      </c>
      <c r="I7" t="s">
        <v>28</v>
      </c>
      <c r="J7" t="b">
        <v>0</v>
      </c>
      <c r="K7">
        <v>0</v>
      </c>
      <c r="L7">
        <v>8</v>
      </c>
    </row>
    <row r="8" spans="1:12" x14ac:dyDescent="0.25">
      <c r="A8" t="s">
        <v>37</v>
      </c>
      <c r="B8" t="s">
        <v>23</v>
      </c>
      <c r="C8" t="s">
        <v>38</v>
      </c>
      <c r="D8" t="s">
        <v>15</v>
      </c>
      <c r="E8" s="1">
        <v>45804</v>
      </c>
      <c r="F8" s="1">
        <v>45831</v>
      </c>
      <c r="H8" t="s">
        <v>39</v>
      </c>
      <c r="I8" t="s">
        <v>17</v>
      </c>
      <c r="J8" t="b">
        <v>0</v>
      </c>
      <c r="K8">
        <v>0</v>
      </c>
      <c r="L8">
        <v>7</v>
      </c>
    </row>
    <row r="9" spans="1:12" x14ac:dyDescent="0.25">
      <c r="A9" t="s">
        <v>40</v>
      </c>
      <c r="B9" t="s">
        <v>41</v>
      </c>
      <c r="C9" t="s">
        <v>42</v>
      </c>
      <c r="D9" t="s">
        <v>36</v>
      </c>
      <c r="E9" s="1">
        <v>45966</v>
      </c>
      <c r="F9" s="1">
        <v>45981</v>
      </c>
      <c r="G9" s="1">
        <v>45982</v>
      </c>
      <c r="H9" t="s">
        <v>32</v>
      </c>
      <c r="I9" t="s">
        <v>17</v>
      </c>
      <c r="J9" t="b">
        <v>1</v>
      </c>
      <c r="K9">
        <v>1</v>
      </c>
      <c r="L9">
        <v>5</v>
      </c>
    </row>
    <row r="10" spans="1:12" x14ac:dyDescent="0.25">
      <c r="A10" t="s">
        <v>43</v>
      </c>
      <c r="B10" t="s">
        <v>44</v>
      </c>
      <c r="C10" t="s">
        <v>45</v>
      </c>
      <c r="D10" t="s">
        <v>46</v>
      </c>
      <c r="E10" s="1">
        <v>45941</v>
      </c>
      <c r="F10" s="1">
        <v>45962</v>
      </c>
      <c r="G10" s="1">
        <v>45960</v>
      </c>
      <c r="H10" t="s">
        <v>32</v>
      </c>
      <c r="I10" t="s">
        <v>17</v>
      </c>
      <c r="J10" t="b">
        <v>0</v>
      </c>
      <c r="K10">
        <v>0</v>
      </c>
      <c r="L10">
        <v>2</v>
      </c>
    </row>
    <row r="11" spans="1:12" x14ac:dyDescent="0.25">
      <c r="A11" t="s">
        <v>47</v>
      </c>
      <c r="B11" t="s">
        <v>48</v>
      </c>
      <c r="C11" t="s">
        <v>30</v>
      </c>
      <c r="D11" t="s">
        <v>31</v>
      </c>
      <c r="E11" s="1">
        <v>46062</v>
      </c>
      <c r="F11" s="1">
        <v>46072</v>
      </c>
      <c r="H11" t="s">
        <v>16</v>
      </c>
      <c r="I11" t="s">
        <v>25</v>
      </c>
      <c r="J11" t="b">
        <v>1</v>
      </c>
      <c r="K11">
        <v>5</v>
      </c>
      <c r="L11">
        <v>9</v>
      </c>
    </row>
    <row r="12" spans="1:12" x14ac:dyDescent="0.25">
      <c r="A12" t="s">
        <v>49</v>
      </c>
      <c r="B12" t="s">
        <v>50</v>
      </c>
      <c r="C12" t="s">
        <v>35</v>
      </c>
      <c r="D12" t="s">
        <v>36</v>
      </c>
      <c r="E12" s="1">
        <v>46016</v>
      </c>
      <c r="F12" s="1">
        <v>46040</v>
      </c>
      <c r="G12" s="1">
        <v>46045</v>
      </c>
      <c r="H12" t="s">
        <v>32</v>
      </c>
      <c r="I12" t="s">
        <v>28</v>
      </c>
      <c r="J12" t="b">
        <v>1</v>
      </c>
      <c r="K12">
        <v>5</v>
      </c>
      <c r="L12">
        <v>9</v>
      </c>
    </row>
    <row r="13" spans="1:12" x14ac:dyDescent="0.25">
      <c r="A13" t="s">
        <v>51</v>
      </c>
      <c r="B13" t="s">
        <v>34</v>
      </c>
      <c r="C13" t="s">
        <v>52</v>
      </c>
      <c r="D13" t="s">
        <v>31</v>
      </c>
      <c r="E13" s="1">
        <v>45885</v>
      </c>
      <c r="F13" s="1">
        <v>45903</v>
      </c>
      <c r="H13" t="s">
        <v>16</v>
      </c>
      <c r="I13" t="s">
        <v>17</v>
      </c>
      <c r="J13" t="b">
        <v>1</v>
      </c>
      <c r="K13">
        <v>1</v>
      </c>
      <c r="L13">
        <v>6</v>
      </c>
    </row>
    <row r="14" spans="1:12" x14ac:dyDescent="0.25">
      <c r="A14" t="s">
        <v>53</v>
      </c>
      <c r="B14" t="s">
        <v>34</v>
      </c>
      <c r="C14" t="s">
        <v>54</v>
      </c>
      <c r="D14" t="s">
        <v>21</v>
      </c>
      <c r="E14" s="1">
        <v>46042</v>
      </c>
      <c r="F14" s="1">
        <v>46060</v>
      </c>
      <c r="H14" t="s">
        <v>24</v>
      </c>
      <c r="I14" t="s">
        <v>28</v>
      </c>
      <c r="J14" t="b">
        <v>0</v>
      </c>
      <c r="K14">
        <v>0</v>
      </c>
      <c r="L14">
        <v>7</v>
      </c>
    </row>
    <row r="15" spans="1:12" x14ac:dyDescent="0.25">
      <c r="A15" t="s">
        <v>55</v>
      </c>
      <c r="B15" t="s">
        <v>13</v>
      </c>
      <c r="C15" t="s">
        <v>14</v>
      </c>
      <c r="D15" t="s">
        <v>15</v>
      </c>
      <c r="E15" s="1">
        <v>45909</v>
      </c>
      <c r="F15" s="1">
        <v>45933</v>
      </c>
      <c r="H15" t="s">
        <v>24</v>
      </c>
      <c r="I15" t="s">
        <v>17</v>
      </c>
      <c r="J15" t="b">
        <v>0</v>
      </c>
      <c r="K15">
        <v>0</v>
      </c>
      <c r="L15">
        <v>8</v>
      </c>
    </row>
    <row r="16" spans="1:12" x14ac:dyDescent="0.25">
      <c r="A16" t="s">
        <v>56</v>
      </c>
      <c r="B16" t="s">
        <v>57</v>
      </c>
      <c r="C16" t="s">
        <v>30</v>
      </c>
      <c r="D16" t="s">
        <v>31</v>
      </c>
      <c r="E16" s="1">
        <v>45782</v>
      </c>
      <c r="F16" s="1">
        <v>45796</v>
      </c>
      <c r="G16" s="1">
        <v>45803</v>
      </c>
      <c r="H16" t="s">
        <v>32</v>
      </c>
      <c r="I16" t="s">
        <v>58</v>
      </c>
      <c r="J16" t="b">
        <v>1</v>
      </c>
      <c r="K16">
        <v>7</v>
      </c>
      <c r="L16">
        <v>10</v>
      </c>
    </row>
    <row r="17" spans="1:12" x14ac:dyDescent="0.25">
      <c r="A17" t="s">
        <v>59</v>
      </c>
      <c r="B17" t="s">
        <v>60</v>
      </c>
      <c r="C17" t="s">
        <v>61</v>
      </c>
      <c r="D17" t="s">
        <v>21</v>
      </c>
      <c r="E17" s="1">
        <v>46070</v>
      </c>
      <c r="F17" s="1">
        <v>46080</v>
      </c>
      <c r="G17" s="1">
        <v>46082</v>
      </c>
      <c r="H17" t="s">
        <v>32</v>
      </c>
      <c r="I17" t="s">
        <v>28</v>
      </c>
      <c r="J17" t="b">
        <v>1</v>
      </c>
      <c r="K17">
        <v>2</v>
      </c>
      <c r="L17">
        <v>9</v>
      </c>
    </row>
    <row r="18" spans="1:12" x14ac:dyDescent="0.25">
      <c r="A18" t="s">
        <v>62</v>
      </c>
      <c r="B18" t="s">
        <v>63</v>
      </c>
      <c r="C18" t="s">
        <v>52</v>
      </c>
      <c r="D18" t="s">
        <v>31</v>
      </c>
      <c r="E18" s="1">
        <v>45842</v>
      </c>
      <c r="F18" s="1">
        <v>45855</v>
      </c>
      <c r="H18" t="s">
        <v>16</v>
      </c>
      <c r="I18" t="s">
        <v>17</v>
      </c>
      <c r="J18" t="b">
        <v>1</v>
      </c>
      <c r="K18">
        <v>8</v>
      </c>
      <c r="L18">
        <v>10</v>
      </c>
    </row>
    <row r="19" spans="1:12" x14ac:dyDescent="0.25">
      <c r="A19" t="s">
        <v>64</v>
      </c>
      <c r="B19" t="s">
        <v>13</v>
      </c>
      <c r="C19" t="s">
        <v>61</v>
      </c>
      <c r="D19" t="s">
        <v>21</v>
      </c>
      <c r="E19" s="1">
        <v>46005</v>
      </c>
      <c r="F19" s="1">
        <v>46027</v>
      </c>
      <c r="G19" s="1">
        <v>46031</v>
      </c>
      <c r="H19" t="s">
        <v>32</v>
      </c>
      <c r="I19" t="s">
        <v>28</v>
      </c>
      <c r="J19" t="b">
        <v>1</v>
      </c>
      <c r="K19">
        <v>4</v>
      </c>
      <c r="L19">
        <v>2</v>
      </c>
    </row>
    <row r="20" spans="1:12" x14ac:dyDescent="0.25">
      <c r="A20" t="s">
        <v>65</v>
      </c>
      <c r="B20" t="s">
        <v>66</v>
      </c>
      <c r="C20" t="s">
        <v>27</v>
      </c>
      <c r="D20" t="s">
        <v>15</v>
      </c>
      <c r="E20" s="1">
        <v>45881</v>
      </c>
      <c r="F20" s="1">
        <v>45902</v>
      </c>
      <c r="G20" s="1">
        <v>45904</v>
      </c>
      <c r="H20" t="s">
        <v>32</v>
      </c>
      <c r="I20" t="s">
        <v>28</v>
      </c>
      <c r="J20" t="b">
        <v>1</v>
      </c>
      <c r="K20">
        <v>2</v>
      </c>
      <c r="L20">
        <v>10</v>
      </c>
    </row>
    <row r="21" spans="1:12" x14ac:dyDescent="0.25">
      <c r="A21" t="s">
        <v>67</v>
      </c>
      <c r="B21" t="s">
        <v>68</v>
      </c>
      <c r="C21" t="s">
        <v>27</v>
      </c>
      <c r="D21" t="s">
        <v>15</v>
      </c>
      <c r="E21" s="1">
        <v>45931</v>
      </c>
      <c r="F21" s="1">
        <v>45943</v>
      </c>
      <c r="G21" s="1">
        <v>45950</v>
      </c>
      <c r="H21" t="s">
        <v>32</v>
      </c>
      <c r="I21" t="s">
        <v>28</v>
      </c>
      <c r="J21" t="b">
        <v>1</v>
      </c>
      <c r="K21">
        <v>7</v>
      </c>
      <c r="L21">
        <v>7</v>
      </c>
    </row>
    <row r="22" spans="1:12" x14ac:dyDescent="0.25">
      <c r="A22" t="s">
        <v>69</v>
      </c>
      <c r="B22" t="s">
        <v>70</v>
      </c>
      <c r="C22" t="s">
        <v>14</v>
      </c>
      <c r="D22" t="s">
        <v>15</v>
      </c>
      <c r="E22" s="1">
        <v>45880</v>
      </c>
      <c r="F22" s="1">
        <v>45901</v>
      </c>
      <c r="H22" t="s">
        <v>39</v>
      </c>
      <c r="I22" t="s">
        <v>28</v>
      </c>
      <c r="J22" t="b">
        <v>0</v>
      </c>
      <c r="K22">
        <v>0</v>
      </c>
      <c r="L22">
        <v>4</v>
      </c>
    </row>
    <row r="23" spans="1:12" x14ac:dyDescent="0.25">
      <c r="A23" t="s">
        <v>71</v>
      </c>
      <c r="B23" t="s">
        <v>60</v>
      </c>
      <c r="C23" t="s">
        <v>27</v>
      </c>
      <c r="D23" t="s">
        <v>15</v>
      </c>
      <c r="E23" s="1">
        <v>45980</v>
      </c>
      <c r="F23" s="1">
        <v>46004</v>
      </c>
      <c r="H23" t="s">
        <v>16</v>
      </c>
      <c r="I23" t="s">
        <v>25</v>
      </c>
      <c r="J23" t="b">
        <v>1</v>
      </c>
      <c r="K23">
        <v>9</v>
      </c>
      <c r="L23">
        <v>3</v>
      </c>
    </row>
    <row r="24" spans="1:12" x14ac:dyDescent="0.25">
      <c r="A24" t="s">
        <v>72</v>
      </c>
      <c r="B24" t="s">
        <v>41</v>
      </c>
      <c r="C24" t="s">
        <v>38</v>
      </c>
      <c r="D24" t="s">
        <v>15</v>
      </c>
      <c r="E24" s="1">
        <v>45863</v>
      </c>
      <c r="F24" s="1">
        <v>45885</v>
      </c>
      <c r="H24" t="s">
        <v>39</v>
      </c>
      <c r="I24" t="s">
        <v>58</v>
      </c>
      <c r="J24" t="b">
        <v>0</v>
      </c>
      <c r="K24">
        <v>0</v>
      </c>
      <c r="L24">
        <v>3</v>
      </c>
    </row>
    <row r="25" spans="1:12" x14ac:dyDescent="0.25">
      <c r="A25" t="s">
        <v>73</v>
      </c>
      <c r="B25" t="s">
        <v>66</v>
      </c>
      <c r="C25" t="s">
        <v>45</v>
      </c>
      <c r="D25" t="s">
        <v>46</v>
      </c>
      <c r="E25" s="1">
        <v>45866</v>
      </c>
      <c r="F25" s="1">
        <v>45892</v>
      </c>
      <c r="H25" t="s">
        <v>24</v>
      </c>
      <c r="I25" t="s">
        <v>28</v>
      </c>
      <c r="J25" t="b">
        <v>0</v>
      </c>
      <c r="K25">
        <v>0</v>
      </c>
      <c r="L25">
        <v>6</v>
      </c>
    </row>
    <row r="26" spans="1:12" x14ac:dyDescent="0.25">
      <c r="A26" t="s">
        <v>74</v>
      </c>
      <c r="B26" t="s">
        <v>75</v>
      </c>
      <c r="C26" t="s">
        <v>76</v>
      </c>
      <c r="D26" t="s">
        <v>36</v>
      </c>
      <c r="E26" s="1">
        <v>45940</v>
      </c>
      <c r="F26" s="1">
        <v>45946</v>
      </c>
      <c r="G26" s="1">
        <v>45949</v>
      </c>
      <c r="H26" t="s">
        <v>32</v>
      </c>
      <c r="I26" t="s">
        <v>17</v>
      </c>
      <c r="J26" t="b">
        <v>1</v>
      </c>
      <c r="K26">
        <v>3</v>
      </c>
      <c r="L26">
        <v>8</v>
      </c>
    </row>
    <row r="27" spans="1:12" x14ac:dyDescent="0.25">
      <c r="A27" t="s">
        <v>77</v>
      </c>
      <c r="B27" t="s">
        <v>78</v>
      </c>
      <c r="C27" t="s">
        <v>14</v>
      </c>
      <c r="D27" t="s">
        <v>15</v>
      </c>
      <c r="E27" s="1">
        <v>45676</v>
      </c>
      <c r="F27" s="1">
        <v>45683</v>
      </c>
      <c r="G27" s="1">
        <v>45685</v>
      </c>
      <c r="H27" t="s">
        <v>32</v>
      </c>
      <c r="I27" t="s">
        <v>58</v>
      </c>
      <c r="J27" t="b">
        <v>1</v>
      </c>
      <c r="K27">
        <v>2</v>
      </c>
      <c r="L27">
        <v>7</v>
      </c>
    </row>
    <row r="28" spans="1:12" x14ac:dyDescent="0.25">
      <c r="A28" t="s">
        <v>79</v>
      </c>
      <c r="B28" t="s">
        <v>66</v>
      </c>
      <c r="C28" t="s">
        <v>54</v>
      </c>
      <c r="D28" t="s">
        <v>21</v>
      </c>
      <c r="E28" s="1">
        <v>45922</v>
      </c>
      <c r="F28" s="1">
        <v>45946</v>
      </c>
      <c r="G28" s="1">
        <v>45945</v>
      </c>
      <c r="H28" t="s">
        <v>32</v>
      </c>
      <c r="I28" t="s">
        <v>28</v>
      </c>
      <c r="J28" t="b">
        <v>0</v>
      </c>
      <c r="K28">
        <v>0</v>
      </c>
      <c r="L28">
        <v>4</v>
      </c>
    </row>
    <row r="29" spans="1:12" x14ac:dyDescent="0.25">
      <c r="A29" t="s">
        <v>80</v>
      </c>
      <c r="B29" t="s">
        <v>68</v>
      </c>
      <c r="C29" t="s">
        <v>30</v>
      </c>
      <c r="D29" t="s">
        <v>31</v>
      </c>
      <c r="E29" s="1">
        <v>45923</v>
      </c>
      <c r="F29" s="1">
        <v>45933</v>
      </c>
      <c r="G29" s="1">
        <v>45931</v>
      </c>
      <c r="H29" t="s">
        <v>32</v>
      </c>
      <c r="I29" t="s">
        <v>17</v>
      </c>
      <c r="J29" t="b">
        <v>0</v>
      </c>
      <c r="K29">
        <v>0</v>
      </c>
      <c r="L29">
        <v>10</v>
      </c>
    </row>
    <row r="30" spans="1:12" x14ac:dyDescent="0.25">
      <c r="A30" t="s">
        <v>81</v>
      </c>
      <c r="B30" t="s">
        <v>13</v>
      </c>
      <c r="C30" t="s">
        <v>54</v>
      </c>
      <c r="D30" t="s">
        <v>21</v>
      </c>
      <c r="E30" s="1">
        <v>45695</v>
      </c>
      <c r="F30" s="1">
        <v>45705</v>
      </c>
      <c r="H30" t="s">
        <v>16</v>
      </c>
      <c r="I30" t="s">
        <v>17</v>
      </c>
      <c r="J30" t="b">
        <v>1</v>
      </c>
      <c r="K30">
        <v>10</v>
      </c>
      <c r="L30">
        <v>10</v>
      </c>
    </row>
    <row r="31" spans="1:12" x14ac:dyDescent="0.25">
      <c r="A31" t="s">
        <v>82</v>
      </c>
      <c r="B31" t="s">
        <v>19</v>
      </c>
      <c r="C31" t="s">
        <v>35</v>
      </c>
      <c r="D31" t="s">
        <v>36</v>
      </c>
      <c r="E31" s="1">
        <v>45871</v>
      </c>
      <c r="F31" s="1">
        <v>45895</v>
      </c>
      <c r="H31" t="s">
        <v>24</v>
      </c>
      <c r="I31" t="s">
        <v>25</v>
      </c>
      <c r="J31" t="b">
        <v>0</v>
      </c>
      <c r="K31">
        <v>0</v>
      </c>
      <c r="L31">
        <v>5</v>
      </c>
    </row>
    <row r="32" spans="1:12" x14ac:dyDescent="0.25">
      <c r="A32" t="s">
        <v>83</v>
      </c>
      <c r="B32" t="s">
        <v>23</v>
      </c>
      <c r="C32" t="s">
        <v>30</v>
      </c>
      <c r="D32" t="s">
        <v>31</v>
      </c>
      <c r="E32" s="1">
        <v>45786</v>
      </c>
      <c r="F32" s="1">
        <v>45789</v>
      </c>
      <c r="G32" s="1">
        <v>45790</v>
      </c>
      <c r="H32" t="s">
        <v>32</v>
      </c>
      <c r="I32" t="s">
        <v>28</v>
      </c>
      <c r="J32" t="b">
        <v>1</v>
      </c>
      <c r="K32">
        <v>1</v>
      </c>
      <c r="L32">
        <v>9</v>
      </c>
    </row>
    <row r="33" spans="1:12" x14ac:dyDescent="0.25">
      <c r="A33" t="s">
        <v>84</v>
      </c>
      <c r="B33" t="s">
        <v>85</v>
      </c>
      <c r="C33" t="s">
        <v>61</v>
      </c>
      <c r="D33" t="s">
        <v>21</v>
      </c>
      <c r="E33" s="1">
        <v>45800</v>
      </c>
      <c r="F33" s="1">
        <v>45805</v>
      </c>
      <c r="G33" s="1">
        <v>45809</v>
      </c>
      <c r="H33" t="s">
        <v>32</v>
      </c>
      <c r="I33" t="s">
        <v>25</v>
      </c>
      <c r="J33" t="b">
        <v>1</v>
      </c>
      <c r="K33">
        <v>4</v>
      </c>
      <c r="L33">
        <v>4</v>
      </c>
    </row>
    <row r="34" spans="1:12" x14ac:dyDescent="0.25">
      <c r="A34" t="s">
        <v>86</v>
      </c>
      <c r="B34" t="s">
        <v>87</v>
      </c>
      <c r="C34" t="s">
        <v>35</v>
      </c>
      <c r="D34" t="s">
        <v>36</v>
      </c>
      <c r="E34" s="1">
        <v>46080</v>
      </c>
      <c r="F34" s="1">
        <v>46103</v>
      </c>
      <c r="H34" t="s">
        <v>24</v>
      </c>
      <c r="I34" t="s">
        <v>28</v>
      </c>
      <c r="J34" t="b">
        <v>0</v>
      </c>
      <c r="K34">
        <v>0</v>
      </c>
      <c r="L34">
        <v>8</v>
      </c>
    </row>
    <row r="35" spans="1:12" x14ac:dyDescent="0.25">
      <c r="A35" t="s">
        <v>88</v>
      </c>
      <c r="B35" t="s">
        <v>57</v>
      </c>
      <c r="C35" t="s">
        <v>30</v>
      </c>
      <c r="D35" t="s">
        <v>31</v>
      </c>
      <c r="E35" s="1">
        <v>45674</v>
      </c>
      <c r="F35" s="1">
        <v>45680</v>
      </c>
      <c r="G35" s="1">
        <v>45683</v>
      </c>
      <c r="H35" t="s">
        <v>32</v>
      </c>
      <c r="I35" t="s">
        <v>25</v>
      </c>
      <c r="J35" t="b">
        <v>1</v>
      </c>
      <c r="K35">
        <v>3</v>
      </c>
      <c r="L35">
        <v>2</v>
      </c>
    </row>
    <row r="36" spans="1:12" x14ac:dyDescent="0.25">
      <c r="A36" t="s">
        <v>89</v>
      </c>
      <c r="B36" t="s">
        <v>90</v>
      </c>
      <c r="C36" t="s">
        <v>91</v>
      </c>
      <c r="D36" t="s">
        <v>46</v>
      </c>
      <c r="E36" s="1">
        <v>45800</v>
      </c>
      <c r="F36" s="1">
        <v>45808</v>
      </c>
      <c r="H36" t="s">
        <v>16</v>
      </c>
      <c r="I36" t="s">
        <v>25</v>
      </c>
      <c r="J36" t="b">
        <v>1</v>
      </c>
      <c r="K36">
        <v>19</v>
      </c>
      <c r="L36">
        <v>4</v>
      </c>
    </row>
    <row r="37" spans="1:12" x14ac:dyDescent="0.25">
      <c r="A37" t="s">
        <v>92</v>
      </c>
      <c r="B37" t="s">
        <v>90</v>
      </c>
      <c r="C37" t="s">
        <v>52</v>
      </c>
      <c r="D37" t="s">
        <v>31</v>
      </c>
      <c r="E37" s="1">
        <v>46079</v>
      </c>
      <c r="F37" s="1">
        <v>46086</v>
      </c>
      <c r="G37" s="1">
        <v>46085</v>
      </c>
      <c r="H37" t="s">
        <v>32</v>
      </c>
      <c r="I37" t="s">
        <v>17</v>
      </c>
      <c r="J37" t="b">
        <v>0</v>
      </c>
      <c r="K37">
        <v>0</v>
      </c>
      <c r="L37">
        <v>3</v>
      </c>
    </row>
    <row r="38" spans="1:12" x14ac:dyDescent="0.25">
      <c r="A38" t="s">
        <v>93</v>
      </c>
      <c r="B38" t="s">
        <v>66</v>
      </c>
      <c r="C38" t="s">
        <v>20</v>
      </c>
      <c r="D38" t="s">
        <v>21</v>
      </c>
      <c r="E38" s="1">
        <v>46059</v>
      </c>
      <c r="F38" s="1">
        <v>46064</v>
      </c>
      <c r="H38" t="s">
        <v>39</v>
      </c>
      <c r="I38" t="s">
        <v>17</v>
      </c>
      <c r="J38" t="b">
        <v>0</v>
      </c>
      <c r="K38">
        <v>0</v>
      </c>
      <c r="L38">
        <v>1</v>
      </c>
    </row>
    <row r="39" spans="1:12" x14ac:dyDescent="0.25">
      <c r="A39" t="s">
        <v>94</v>
      </c>
      <c r="B39" t="s">
        <v>19</v>
      </c>
      <c r="C39" t="s">
        <v>38</v>
      </c>
      <c r="D39" t="s">
        <v>15</v>
      </c>
      <c r="E39" s="1">
        <v>45869</v>
      </c>
      <c r="F39" s="1">
        <v>45880</v>
      </c>
      <c r="H39" t="s">
        <v>16</v>
      </c>
      <c r="I39" t="s">
        <v>25</v>
      </c>
      <c r="J39" t="b">
        <v>1</v>
      </c>
      <c r="K39">
        <v>1</v>
      </c>
      <c r="L39">
        <v>2</v>
      </c>
    </row>
    <row r="40" spans="1:12" x14ac:dyDescent="0.25">
      <c r="A40" t="s">
        <v>95</v>
      </c>
      <c r="B40" t="s">
        <v>13</v>
      </c>
      <c r="C40" t="s">
        <v>38</v>
      </c>
      <c r="D40" t="s">
        <v>15</v>
      </c>
      <c r="E40" s="1">
        <v>45989</v>
      </c>
      <c r="F40" s="1">
        <v>46012</v>
      </c>
      <c r="G40" s="1">
        <v>46013</v>
      </c>
      <c r="H40" t="s">
        <v>32</v>
      </c>
      <c r="I40" t="s">
        <v>17</v>
      </c>
      <c r="J40" t="b">
        <v>1</v>
      </c>
      <c r="K40">
        <v>1</v>
      </c>
      <c r="L40">
        <v>9</v>
      </c>
    </row>
    <row r="41" spans="1:12" x14ac:dyDescent="0.25">
      <c r="A41" t="s">
        <v>96</v>
      </c>
      <c r="B41" t="s">
        <v>41</v>
      </c>
      <c r="C41" t="s">
        <v>45</v>
      </c>
      <c r="D41" t="s">
        <v>46</v>
      </c>
      <c r="E41" s="1">
        <v>45688</v>
      </c>
      <c r="F41" s="1">
        <v>45713</v>
      </c>
      <c r="G41" s="1">
        <v>45719</v>
      </c>
      <c r="H41" t="s">
        <v>32</v>
      </c>
      <c r="I41" t="s">
        <v>25</v>
      </c>
      <c r="J41" t="b">
        <v>1</v>
      </c>
      <c r="K41">
        <v>6</v>
      </c>
      <c r="L41">
        <v>1</v>
      </c>
    </row>
    <row r="42" spans="1:12" x14ac:dyDescent="0.25">
      <c r="A42" t="s">
        <v>97</v>
      </c>
      <c r="B42" t="s">
        <v>98</v>
      </c>
      <c r="C42" t="s">
        <v>54</v>
      </c>
      <c r="D42" t="s">
        <v>21</v>
      </c>
      <c r="E42" s="1">
        <v>45678</v>
      </c>
      <c r="F42" s="1">
        <v>45686</v>
      </c>
      <c r="H42" t="s">
        <v>24</v>
      </c>
      <c r="I42" t="s">
        <v>28</v>
      </c>
      <c r="J42" t="b">
        <v>0</v>
      </c>
      <c r="K42">
        <v>0</v>
      </c>
      <c r="L42">
        <v>8</v>
      </c>
    </row>
    <row r="43" spans="1:12" x14ac:dyDescent="0.25">
      <c r="A43" t="s">
        <v>99</v>
      </c>
      <c r="B43" t="s">
        <v>34</v>
      </c>
      <c r="C43" t="s">
        <v>30</v>
      </c>
      <c r="D43" t="s">
        <v>31</v>
      </c>
      <c r="E43" s="1">
        <v>45883</v>
      </c>
      <c r="F43" s="1">
        <v>45897</v>
      </c>
      <c r="H43" t="s">
        <v>39</v>
      </c>
      <c r="I43" t="s">
        <v>17</v>
      </c>
      <c r="J43" t="b">
        <v>0</v>
      </c>
      <c r="K43">
        <v>0</v>
      </c>
      <c r="L43">
        <v>4</v>
      </c>
    </row>
    <row r="44" spans="1:12" x14ac:dyDescent="0.25">
      <c r="A44" t="s">
        <v>100</v>
      </c>
      <c r="B44" t="s">
        <v>41</v>
      </c>
      <c r="C44" t="s">
        <v>54</v>
      </c>
      <c r="D44" t="s">
        <v>21</v>
      </c>
      <c r="E44" s="1">
        <v>45666</v>
      </c>
      <c r="F44" s="1">
        <v>45687</v>
      </c>
      <c r="G44" s="1">
        <v>45694</v>
      </c>
      <c r="H44" t="s">
        <v>32</v>
      </c>
      <c r="I44" t="s">
        <v>58</v>
      </c>
      <c r="J44" t="b">
        <v>1</v>
      </c>
      <c r="K44">
        <v>7</v>
      </c>
      <c r="L44">
        <v>3</v>
      </c>
    </row>
    <row r="45" spans="1:12" x14ac:dyDescent="0.25">
      <c r="A45" t="s">
        <v>101</v>
      </c>
      <c r="B45" t="s">
        <v>85</v>
      </c>
      <c r="C45" t="s">
        <v>14</v>
      </c>
      <c r="D45" t="s">
        <v>15</v>
      </c>
      <c r="E45" s="1">
        <v>45845</v>
      </c>
      <c r="F45" s="1">
        <v>45853</v>
      </c>
      <c r="H45" t="s">
        <v>24</v>
      </c>
      <c r="I45" t="s">
        <v>17</v>
      </c>
      <c r="J45" t="b">
        <v>0</v>
      </c>
      <c r="K45">
        <v>0</v>
      </c>
      <c r="L45">
        <v>8</v>
      </c>
    </row>
    <row r="46" spans="1:12" x14ac:dyDescent="0.25">
      <c r="A46" t="s">
        <v>102</v>
      </c>
      <c r="B46" t="s">
        <v>44</v>
      </c>
      <c r="C46" t="s">
        <v>61</v>
      </c>
      <c r="D46" t="s">
        <v>21</v>
      </c>
      <c r="E46" s="1">
        <v>45716</v>
      </c>
      <c r="F46" s="1">
        <v>45730</v>
      </c>
      <c r="H46" t="s">
        <v>16</v>
      </c>
      <c r="I46" t="s">
        <v>17</v>
      </c>
      <c r="J46" t="b">
        <v>1</v>
      </c>
      <c r="K46">
        <v>3</v>
      </c>
      <c r="L46">
        <v>9</v>
      </c>
    </row>
    <row r="47" spans="1:12" x14ac:dyDescent="0.25">
      <c r="A47" t="s">
        <v>103</v>
      </c>
      <c r="B47" t="s">
        <v>41</v>
      </c>
      <c r="C47" t="s">
        <v>91</v>
      </c>
      <c r="D47" t="s">
        <v>46</v>
      </c>
      <c r="E47" s="1">
        <v>45877</v>
      </c>
      <c r="F47" s="1">
        <v>45893</v>
      </c>
      <c r="G47" s="1">
        <v>45897</v>
      </c>
      <c r="H47" t="s">
        <v>32</v>
      </c>
      <c r="I47" t="s">
        <v>28</v>
      </c>
      <c r="J47" t="b">
        <v>1</v>
      </c>
      <c r="K47">
        <v>4</v>
      </c>
      <c r="L47">
        <v>10</v>
      </c>
    </row>
    <row r="48" spans="1:12" x14ac:dyDescent="0.25">
      <c r="A48" t="s">
        <v>104</v>
      </c>
      <c r="B48" t="s">
        <v>34</v>
      </c>
      <c r="C48" t="s">
        <v>30</v>
      </c>
      <c r="D48" t="s">
        <v>31</v>
      </c>
      <c r="E48" s="1">
        <v>45669</v>
      </c>
      <c r="F48" s="1">
        <v>45688</v>
      </c>
      <c r="H48" t="s">
        <v>39</v>
      </c>
      <c r="I48" t="s">
        <v>28</v>
      </c>
      <c r="J48" t="b">
        <v>0</v>
      </c>
      <c r="K48">
        <v>0</v>
      </c>
      <c r="L48">
        <v>10</v>
      </c>
    </row>
    <row r="49" spans="1:12" x14ac:dyDescent="0.25">
      <c r="A49" t="s">
        <v>105</v>
      </c>
      <c r="B49" t="s">
        <v>41</v>
      </c>
      <c r="C49" t="s">
        <v>91</v>
      </c>
      <c r="D49" t="s">
        <v>46</v>
      </c>
      <c r="E49" s="1">
        <v>45994</v>
      </c>
      <c r="F49" s="1">
        <v>46008</v>
      </c>
      <c r="G49" s="1">
        <v>46006</v>
      </c>
      <c r="H49" t="s">
        <v>32</v>
      </c>
      <c r="I49" t="s">
        <v>17</v>
      </c>
      <c r="J49" t="b">
        <v>0</v>
      </c>
      <c r="K49">
        <v>0</v>
      </c>
      <c r="L49">
        <v>8</v>
      </c>
    </row>
    <row r="50" spans="1:12" x14ac:dyDescent="0.25">
      <c r="A50" t="s">
        <v>106</v>
      </c>
      <c r="B50" t="s">
        <v>44</v>
      </c>
      <c r="C50" t="s">
        <v>107</v>
      </c>
      <c r="D50" t="s">
        <v>31</v>
      </c>
      <c r="E50" s="1">
        <v>45852</v>
      </c>
      <c r="F50" s="1">
        <v>45867</v>
      </c>
      <c r="H50" t="s">
        <v>39</v>
      </c>
      <c r="I50" t="s">
        <v>17</v>
      </c>
      <c r="J50" t="b">
        <v>0</v>
      </c>
      <c r="K50">
        <v>0</v>
      </c>
      <c r="L50">
        <v>8</v>
      </c>
    </row>
    <row r="51" spans="1:12" x14ac:dyDescent="0.25">
      <c r="A51" t="s">
        <v>108</v>
      </c>
      <c r="B51" t="s">
        <v>60</v>
      </c>
      <c r="C51" t="s">
        <v>52</v>
      </c>
      <c r="D51" t="s">
        <v>31</v>
      </c>
      <c r="E51" s="1">
        <v>46031</v>
      </c>
      <c r="F51" s="1">
        <v>46040</v>
      </c>
      <c r="G51" s="1">
        <v>46045</v>
      </c>
      <c r="H51" t="s">
        <v>32</v>
      </c>
      <c r="I51" t="s">
        <v>58</v>
      </c>
      <c r="J51" t="b">
        <v>1</v>
      </c>
      <c r="K51">
        <v>5</v>
      </c>
      <c r="L51">
        <v>8</v>
      </c>
    </row>
    <row r="52" spans="1:12" x14ac:dyDescent="0.25">
      <c r="A52" t="s">
        <v>109</v>
      </c>
      <c r="B52" t="s">
        <v>70</v>
      </c>
      <c r="C52" t="s">
        <v>27</v>
      </c>
      <c r="D52" t="s">
        <v>15</v>
      </c>
      <c r="E52" s="1">
        <v>46048</v>
      </c>
      <c r="F52" s="1">
        <v>46071</v>
      </c>
      <c r="H52" t="s">
        <v>24</v>
      </c>
      <c r="I52" t="s">
        <v>17</v>
      </c>
      <c r="J52" t="b">
        <v>0</v>
      </c>
      <c r="K52">
        <v>0</v>
      </c>
      <c r="L52">
        <v>3</v>
      </c>
    </row>
    <row r="53" spans="1:12" x14ac:dyDescent="0.25">
      <c r="A53" t="s">
        <v>110</v>
      </c>
      <c r="B53" t="s">
        <v>23</v>
      </c>
      <c r="C53" t="s">
        <v>52</v>
      </c>
      <c r="D53" t="s">
        <v>31</v>
      </c>
      <c r="E53" s="1">
        <v>45709</v>
      </c>
      <c r="F53" s="1">
        <v>45729</v>
      </c>
      <c r="G53" s="1">
        <v>45736</v>
      </c>
      <c r="H53" t="s">
        <v>32</v>
      </c>
      <c r="I53" t="s">
        <v>17</v>
      </c>
      <c r="J53" t="b">
        <v>1</v>
      </c>
      <c r="K53">
        <v>7</v>
      </c>
      <c r="L53">
        <v>10</v>
      </c>
    </row>
    <row r="54" spans="1:12" x14ac:dyDescent="0.25">
      <c r="A54" t="s">
        <v>111</v>
      </c>
      <c r="B54" t="s">
        <v>57</v>
      </c>
      <c r="C54" t="s">
        <v>112</v>
      </c>
      <c r="D54" t="s">
        <v>46</v>
      </c>
      <c r="E54" s="1">
        <v>46105</v>
      </c>
      <c r="F54" s="1">
        <v>46128</v>
      </c>
      <c r="G54" s="1">
        <v>46134</v>
      </c>
      <c r="H54" t="s">
        <v>32</v>
      </c>
      <c r="I54" t="s">
        <v>17</v>
      </c>
      <c r="J54" t="b">
        <v>1</v>
      </c>
      <c r="K54">
        <v>6</v>
      </c>
      <c r="L54">
        <v>3</v>
      </c>
    </row>
    <row r="55" spans="1:12" x14ac:dyDescent="0.25">
      <c r="A55" t="s">
        <v>113</v>
      </c>
      <c r="B55" t="s">
        <v>85</v>
      </c>
      <c r="C55" t="s">
        <v>61</v>
      </c>
      <c r="D55" t="s">
        <v>21</v>
      </c>
      <c r="E55" s="1">
        <v>45819</v>
      </c>
      <c r="F55" s="1">
        <v>45825</v>
      </c>
      <c r="G55" s="1">
        <v>45824</v>
      </c>
      <c r="H55" t="s">
        <v>32</v>
      </c>
      <c r="I55" t="s">
        <v>28</v>
      </c>
      <c r="J55" t="b">
        <v>0</v>
      </c>
      <c r="K55">
        <v>0</v>
      </c>
      <c r="L55">
        <v>5</v>
      </c>
    </row>
    <row r="56" spans="1:12" x14ac:dyDescent="0.25">
      <c r="A56" t="s">
        <v>114</v>
      </c>
      <c r="B56" t="s">
        <v>70</v>
      </c>
      <c r="C56" t="s">
        <v>61</v>
      </c>
      <c r="D56" t="s">
        <v>21</v>
      </c>
      <c r="E56" s="1">
        <v>45927</v>
      </c>
      <c r="F56" s="1">
        <v>45934</v>
      </c>
      <c r="G56" s="1">
        <v>45933</v>
      </c>
      <c r="H56" t="s">
        <v>32</v>
      </c>
      <c r="I56" t="s">
        <v>28</v>
      </c>
      <c r="J56" t="b">
        <v>0</v>
      </c>
      <c r="K56">
        <v>0</v>
      </c>
      <c r="L56">
        <v>10</v>
      </c>
    </row>
    <row r="57" spans="1:12" x14ac:dyDescent="0.25">
      <c r="A57" t="s">
        <v>115</v>
      </c>
      <c r="B57" t="s">
        <v>50</v>
      </c>
      <c r="C57" t="s">
        <v>30</v>
      </c>
      <c r="D57" t="s">
        <v>31</v>
      </c>
      <c r="E57" s="1">
        <v>45977</v>
      </c>
      <c r="F57" s="1">
        <v>45981</v>
      </c>
      <c r="G57" s="1">
        <v>45980</v>
      </c>
      <c r="H57" t="s">
        <v>32</v>
      </c>
      <c r="I57" t="s">
        <v>28</v>
      </c>
      <c r="J57" t="b">
        <v>0</v>
      </c>
      <c r="K57">
        <v>0</v>
      </c>
      <c r="L57">
        <v>6</v>
      </c>
    </row>
    <row r="58" spans="1:12" x14ac:dyDescent="0.25">
      <c r="A58" t="s">
        <v>116</v>
      </c>
      <c r="B58" t="s">
        <v>63</v>
      </c>
      <c r="C58" t="s">
        <v>54</v>
      </c>
      <c r="D58" t="s">
        <v>21</v>
      </c>
      <c r="E58" s="1">
        <v>46019</v>
      </c>
      <c r="F58" s="1">
        <v>46032</v>
      </c>
      <c r="H58" t="s">
        <v>24</v>
      </c>
      <c r="I58" t="s">
        <v>58</v>
      </c>
      <c r="J58" t="b">
        <v>0</v>
      </c>
      <c r="K58">
        <v>0</v>
      </c>
      <c r="L58">
        <v>6</v>
      </c>
    </row>
    <row r="59" spans="1:12" x14ac:dyDescent="0.25">
      <c r="A59" t="s">
        <v>117</v>
      </c>
      <c r="B59" t="s">
        <v>78</v>
      </c>
      <c r="C59" t="s">
        <v>61</v>
      </c>
      <c r="D59" t="s">
        <v>21</v>
      </c>
      <c r="E59" s="1">
        <v>46041</v>
      </c>
      <c r="F59" s="1">
        <v>46058</v>
      </c>
      <c r="H59" t="s">
        <v>16</v>
      </c>
      <c r="I59" t="s">
        <v>17</v>
      </c>
      <c r="J59" t="b">
        <v>1</v>
      </c>
      <c r="K59">
        <v>1</v>
      </c>
      <c r="L59">
        <v>4</v>
      </c>
    </row>
    <row r="60" spans="1:12" x14ac:dyDescent="0.25">
      <c r="A60" t="s">
        <v>118</v>
      </c>
      <c r="B60" t="s">
        <v>68</v>
      </c>
      <c r="C60" t="s">
        <v>20</v>
      </c>
      <c r="D60" t="s">
        <v>21</v>
      </c>
      <c r="E60" s="1">
        <v>45915</v>
      </c>
      <c r="F60" s="1">
        <v>45943</v>
      </c>
      <c r="G60" s="1">
        <v>45945</v>
      </c>
      <c r="H60" t="s">
        <v>32</v>
      </c>
      <c r="I60" t="s">
        <v>28</v>
      </c>
      <c r="J60" t="b">
        <v>1</v>
      </c>
      <c r="K60">
        <v>2</v>
      </c>
      <c r="L60">
        <v>2</v>
      </c>
    </row>
    <row r="61" spans="1:12" x14ac:dyDescent="0.25">
      <c r="A61" t="s">
        <v>119</v>
      </c>
      <c r="B61" t="s">
        <v>98</v>
      </c>
      <c r="C61" t="s">
        <v>30</v>
      </c>
      <c r="D61" t="s">
        <v>31</v>
      </c>
      <c r="E61" s="1">
        <v>45703</v>
      </c>
      <c r="F61" s="1">
        <v>45708</v>
      </c>
      <c r="G61" s="1">
        <v>45714</v>
      </c>
      <c r="H61" t="s">
        <v>32</v>
      </c>
      <c r="I61" t="s">
        <v>28</v>
      </c>
      <c r="J61" t="b">
        <v>1</v>
      </c>
      <c r="K61">
        <v>6</v>
      </c>
      <c r="L61">
        <v>1</v>
      </c>
    </row>
    <row r="62" spans="1:12" x14ac:dyDescent="0.25">
      <c r="A62" t="s">
        <v>120</v>
      </c>
      <c r="B62" t="s">
        <v>44</v>
      </c>
      <c r="C62" t="s">
        <v>14</v>
      </c>
      <c r="D62" t="s">
        <v>15</v>
      </c>
      <c r="E62" s="1">
        <v>46037</v>
      </c>
      <c r="F62" s="1">
        <v>46061</v>
      </c>
      <c r="G62" s="1">
        <v>46068</v>
      </c>
      <c r="H62" t="s">
        <v>32</v>
      </c>
      <c r="I62" t="s">
        <v>25</v>
      </c>
      <c r="J62" t="b">
        <v>1</v>
      </c>
      <c r="K62">
        <v>7</v>
      </c>
      <c r="L62">
        <v>1</v>
      </c>
    </row>
    <row r="63" spans="1:12" x14ac:dyDescent="0.25">
      <c r="A63" t="s">
        <v>121</v>
      </c>
      <c r="B63" t="s">
        <v>68</v>
      </c>
      <c r="C63" t="s">
        <v>45</v>
      </c>
      <c r="D63" t="s">
        <v>46</v>
      </c>
      <c r="E63" s="1">
        <v>45947</v>
      </c>
      <c r="F63" s="1">
        <v>45966</v>
      </c>
      <c r="H63" t="s">
        <v>16</v>
      </c>
      <c r="I63" t="s">
        <v>25</v>
      </c>
      <c r="J63" t="b">
        <v>1</v>
      </c>
      <c r="K63">
        <v>15</v>
      </c>
      <c r="L63">
        <v>10</v>
      </c>
    </row>
    <row r="64" spans="1:12" x14ac:dyDescent="0.25">
      <c r="A64" t="s">
        <v>122</v>
      </c>
      <c r="B64" t="s">
        <v>90</v>
      </c>
      <c r="C64" t="s">
        <v>38</v>
      </c>
      <c r="D64" t="s">
        <v>15</v>
      </c>
      <c r="E64" s="1">
        <v>46043</v>
      </c>
      <c r="F64" s="1">
        <v>46068</v>
      </c>
      <c r="G64" s="1">
        <v>46070</v>
      </c>
      <c r="H64" t="s">
        <v>32</v>
      </c>
      <c r="I64" t="s">
        <v>17</v>
      </c>
      <c r="J64" t="b">
        <v>1</v>
      </c>
      <c r="K64">
        <v>2</v>
      </c>
      <c r="L64">
        <v>2</v>
      </c>
    </row>
    <row r="65" spans="1:12" x14ac:dyDescent="0.25">
      <c r="A65" t="s">
        <v>123</v>
      </c>
      <c r="B65" t="s">
        <v>13</v>
      </c>
      <c r="C65" t="s">
        <v>38</v>
      </c>
      <c r="D65" t="s">
        <v>15</v>
      </c>
      <c r="E65" s="1">
        <v>45720</v>
      </c>
      <c r="F65" s="1">
        <v>45734</v>
      </c>
      <c r="G65" s="1">
        <v>45736</v>
      </c>
      <c r="H65" t="s">
        <v>32</v>
      </c>
      <c r="I65" t="s">
        <v>17</v>
      </c>
      <c r="J65" t="b">
        <v>1</v>
      </c>
      <c r="K65">
        <v>2</v>
      </c>
      <c r="L65">
        <v>4</v>
      </c>
    </row>
    <row r="66" spans="1:12" x14ac:dyDescent="0.25">
      <c r="A66" t="s">
        <v>124</v>
      </c>
      <c r="B66" t="s">
        <v>19</v>
      </c>
      <c r="C66" t="s">
        <v>54</v>
      </c>
      <c r="D66" t="s">
        <v>21</v>
      </c>
      <c r="E66" s="1">
        <v>45822</v>
      </c>
      <c r="F66" s="1">
        <v>45844</v>
      </c>
      <c r="G66" s="1">
        <v>45845</v>
      </c>
      <c r="H66" t="s">
        <v>32</v>
      </c>
      <c r="I66" t="s">
        <v>28</v>
      </c>
      <c r="J66" t="b">
        <v>1</v>
      </c>
      <c r="K66">
        <v>1</v>
      </c>
      <c r="L66">
        <v>5</v>
      </c>
    </row>
    <row r="67" spans="1:12" x14ac:dyDescent="0.25">
      <c r="A67" t="s">
        <v>125</v>
      </c>
      <c r="B67" t="s">
        <v>78</v>
      </c>
      <c r="C67" t="s">
        <v>27</v>
      </c>
      <c r="D67" t="s">
        <v>15</v>
      </c>
      <c r="E67" s="1">
        <v>46084</v>
      </c>
      <c r="F67" s="1">
        <v>46105</v>
      </c>
      <c r="G67" s="1">
        <v>46112</v>
      </c>
      <c r="H67" t="s">
        <v>32</v>
      </c>
      <c r="I67" t="s">
        <v>17</v>
      </c>
      <c r="J67" t="b">
        <v>1</v>
      </c>
      <c r="K67">
        <v>7</v>
      </c>
      <c r="L67">
        <v>4</v>
      </c>
    </row>
    <row r="68" spans="1:12" x14ac:dyDescent="0.25">
      <c r="A68" t="s">
        <v>126</v>
      </c>
      <c r="B68" t="s">
        <v>90</v>
      </c>
      <c r="C68" t="s">
        <v>61</v>
      </c>
      <c r="D68" t="s">
        <v>21</v>
      </c>
      <c r="E68" s="1">
        <v>46039</v>
      </c>
      <c r="F68" s="1">
        <v>46055</v>
      </c>
      <c r="G68" s="1">
        <v>46059</v>
      </c>
      <c r="H68" t="s">
        <v>32</v>
      </c>
      <c r="I68" t="s">
        <v>28</v>
      </c>
      <c r="J68" t="b">
        <v>1</v>
      </c>
      <c r="K68">
        <v>4</v>
      </c>
      <c r="L68">
        <v>5</v>
      </c>
    </row>
    <row r="69" spans="1:12" x14ac:dyDescent="0.25">
      <c r="A69" t="s">
        <v>127</v>
      </c>
      <c r="B69" t="s">
        <v>13</v>
      </c>
      <c r="C69" t="s">
        <v>45</v>
      </c>
      <c r="D69" t="s">
        <v>46</v>
      </c>
      <c r="E69" s="1">
        <v>45787</v>
      </c>
      <c r="F69" s="1">
        <v>45794</v>
      </c>
      <c r="H69" t="s">
        <v>24</v>
      </c>
      <c r="I69" t="s">
        <v>17</v>
      </c>
      <c r="J69" t="b">
        <v>0</v>
      </c>
      <c r="K69">
        <v>0</v>
      </c>
      <c r="L69">
        <v>9</v>
      </c>
    </row>
    <row r="70" spans="1:12" x14ac:dyDescent="0.25">
      <c r="A70" t="s">
        <v>128</v>
      </c>
      <c r="B70" t="s">
        <v>98</v>
      </c>
      <c r="C70" t="s">
        <v>38</v>
      </c>
      <c r="D70" t="s">
        <v>15</v>
      </c>
      <c r="E70" s="1">
        <v>46071</v>
      </c>
      <c r="F70" s="1">
        <v>46077</v>
      </c>
      <c r="H70" t="s">
        <v>24</v>
      </c>
      <c r="I70" t="s">
        <v>28</v>
      </c>
      <c r="J70" t="b">
        <v>0</v>
      </c>
      <c r="K70">
        <v>0</v>
      </c>
      <c r="L70">
        <v>6</v>
      </c>
    </row>
    <row r="71" spans="1:12" x14ac:dyDescent="0.25">
      <c r="A71" t="s">
        <v>129</v>
      </c>
      <c r="B71" t="s">
        <v>85</v>
      </c>
      <c r="C71" t="s">
        <v>107</v>
      </c>
      <c r="D71" t="s">
        <v>31</v>
      </c>
      <c r="E71" s="1">
        <v>45696</v>
      </c>
      <c r="F71" s="1">
        <v>45713</v>
      </c>
      <c r="H71" t="s">
        <v>24</v>
      </c>
      <c r="I71" t="s">
        <v>58</v>
      </c>
      <c r="J71" t="b">
        <v>0</v>
      </c>
      <c r="K71">
        <v>0</v>
      </c>
      <c r="L71">
        <v>7</v>
      </c>
    </row>
    <row r="72" spans="1:12" x14ac:dyDescent="0.25">
      <c r="A72" t="s">
        <v>130</v>
      </c>
      <c r="B72" t="s">
        <v>44</v>
      </c>
      <c r="C72" t="s">
        <v>107</v>
      </c>
      <c r="D72" t="s">
        <v>31</v>
      </c>
      <c r="E72" s="1">
        <v>45841</v>
      </c>
      <c r="F72" s="1">
        <v>45860</v>
      </c>
      <c r="H72" t="s">
        <v>39</v>
      </c>
      <c r="I72" t="s">
        <v>28</v>
      </c>
      <c r="J72" t="b">
        <v>0</v>
      </c>
      <c r="K72">
        <v>0</v>
      </c>
      <c r="L72">
        <v>2</v>
      </c>
    </row>
    <row r="73" spans="1:12" x14ac:dyDescent="0.25">
      <c r="A73" t="s">
        <v>131</v>
      </c>
      <c r="B73" t="s">
        <v>13</v>
      </c>
      <c r="C73" t="s">
        <v>27</v>
      </c>
      <c r="D73" t="s">
        <v>15</v>
      </c>
      <c r="E73" s="1">
        <v>45772</v>
      </c>
      <c r="F73" s="1">
        <v>45794</v>
      </c>
      <c r="H73" t="s">
        <v>39</v>
      </c>
      <c r="I73" t="s">
        <v>17</v>
      </c>
      <c r="J73" t="b">
        <v>0</v>
      </c>
      <c r="K73">
        <v>0</v>
      </c>
      <c r="L73">
        <v>8</v>
      </c>
    </row>
    <row r="74" spans="1:12" x14ac:dyDescent="0.25">
      <c r="A74" t="s">
        <v>132</v>
      </c>
      <c r="B74" t="s">
        <v>66</v>
      </c>
      <c r="C74" t="s">
        <v>91</v>
      </c>
      <c r="D74" t="s">
        <v>46</v>
      </c>
      <c r="E74" s="1">
        <v>45716</v>
      </c>
      <c r="F74" s="1">
        <v>45734</v>
      </c>
      <c r="H74" t="s">
        <v>24</v>
      </c>
      <c r="I74" t="s">
        <v>58</v>
      </c>
      <c r="J74" t="b">
        <v>0</v>
      </c>
      <c r="K74">
        <v>0</v>
      </c>
      <c r="L74">
        <v>2</v>
      </c>
    </row>
    <row r="75" spans="1:12" x14ac:dyDescent="0.25">
      <c r="A75" t="s">
        <v>133</v>
      </c>
      <c r="B75" t="s">
        <v>87</v>
      </c>
      <c r="C75" t="s">
        <v>76</v>
      </c>
      <c r="D75" t="s">
        <v>36</v>
      </c>
      <c r="E75" s="1">
        <v>46001</v>
      </c>
      <c r="F75" s="1">
        <v>46028</v>
      </c>
      <c r="G75" s="1">
        <v>46033</v>
      </c>
      <c r="H75" t="s">
        <v>32</v>
      </c>
      <c r="I75" t="s">
        <v>17</v>
      </c>
      <c r="J75" t="b">
        <v>1</v>
      </c>
      <c r="K75">
        <v>5</v>
      </c>
      <c r="L75">
        <v>6</v>
      </c>
    </row>
    <row r="76" spans="1:12" x14ac:dyDescent="0.25">
      <c r="A76" t="s">
        <v>134</v>
      </c>
      <c r="B76" t="s">
        <v>44</v>
      </c>
      <c r="C76" t="s">
        <v>20</v>
      </c>
      <c r="D76" t="s">
        <v>21</v>
      </c>
      <c r="E76" s="1">
        <v>45711</v>
      </c>
      <c r="F76" s="1">
        <v>45735</v>
      </c>
      <c r="H76" t="s">
        <v>39</v>
      </c>
      <c r="I76" t="s">
        <v>17</v>
      </c>
      <c r="J76" t="b">
        <v>0</v>
      </c>
      <c r="K76">
        <v>0</v>
      </c>
      <c r="L76">
        <v>5</v>
      </c>
    </row>
    <row r="77" spans="1:12" x14ac:dyDescent="0.25">
      <c r="A77" t="s">
        <v>135</v>
      </c>
      <c r="B77" t="s">
        <v>23</v>
      </c>
      <c r="C77" t="s">
        <v>14</v>
      </c>
      <c r="D77" t="s">
        <v>15</v>
      </c>
      <c r="E77" s="1">
        <v>46072</v>
      </c>
      <c r="F77" s="1">
        <v>46095</v>
      </c>
      <c r="H77" t="s">
        <v>24</v>
      </c>
      <c r="I77" t="s">
        <v>58</v>
      </c>
      <c r="J77" t="b">
        <v>0</v>
      </c>
      <c r="K77">
        <v>0</v>
      </c>
      <c r="L77">
        <v>8</v>
      </c>
    </row>
    <row r="78" spans="1:12" x14ac:dyDescent="0.25">
      <c r="A78" t="s">
        <v>136</v>
      </c>
      <c r="B78" t="s">
        <v>44</v>
      </c>
      <c r="C78" t="s">
        <v>45</v>
      </c>
      <c r="D78" t="s">
        <v>46</v>
      </c>
      <c r="E78" s="1">
        <v>46001</v>
      </c>
      <c r="F78" s="1">
        <v>46021</v>
      </c>
      <c r="H78" t="s">
        <v>16</v>
      </c>
      <c r="I78" t="s">
        <v>28</v>
      </c>
      <c r="J78" t="b">
        <v>1</v>
      </c>
      <c r="K78">
        <v>6</v>
      </c>
      <c r="L78">
        <v>7</v>
      </c>
    </row>
    <row r="79" spans="1:12" x14ac:dyDescent="0.25">
      <c r="A79" t="s">
        <v>137</v>
      </c>
      <c r="B79" t="s">
        <v>90</v>
      </c>
      <c r="C79" t="s">
        <v>38</v>
      </c>
      <c r="D79" t="s">
        <v>15</v>
      </c>
      <c r="E79" s="1">
        <v>45724</v>
      </c>
      <c r="F79" s="1">
        <v>45729</v>
      </c>
      <c r="G79" s="1">
        <v>45736</v>
      </c>
      <c r="H79" t="s">
        <v>32</v>
      </c>
      <c r="I79" t="s">
        <v>28</v>
      </c>
      <c r="J79" t="b">
        <v>1</v>
      </c>
      <c r="K79">
        <v>7</v>
      </c>
      <c r="L79">
        <v>4</v>
      </c>
    </row>
    <row r="80" spans="1:12" x14ac:dyDescent="0.25">
      <c r="A80" t="s">
        <v>138</v>
      </c>
      <c r="B80" t="s">
        <v>66</v>
      </c>
      <c r="C80" t="s">
        <v>91</v>
      </c>
      <c r="D80" t="s">
        <v>46</v>
      </c>
      <c r="E80" s="1">
        <v>45906</v>
      </c>
      <c r="F80" s="1">
        <v>45934</v>
      </c>
      <c r="H80" t="s">
        <v>24</v>
      </c>
      <c r="I80" t="s">
        <v>28</v>
      </c>
      <c r="J80" t="b">
        <v>0</v>
      </c>
      <c r="K80">
        <v>0</v>
      </c>
      <c r="L80">
        <v>5</v>
      </c>
    </row>
    <row r="81" spans="1:12" x14ac:dyDescent="0.25">
      <c r="A81" t="s">
        <v>139</v>
      </c>
      <c r="B81" t="s">
        <v>48</v>
      </c>
      <c r="C81" t="s">
        <v>107</v>
      </c>
      <c r="D81" t="s">
        <v>31</v>
      </c>
      <c r="E81" s="1">
        <v>45951</v>
      </c>
      <c r="F81" s="1">
        <v>45980</v>
      </c>
      <c r="G81" s="1">
        <v>45978</v>
      </c>
      <c r="H81" t="s">
        <v>32</v>
      </c>
      <c r="I81" t="s">
        <v>17</v>
      </c>
      <c r="J81" t="b">
        <v>0</v>
      </c>
      <c r="K81">
        <v>0</v>
      </c>
      <c r="L81">
        <v>2</v>
      </c>
    </row>
    <row r="82" spans="1:12" x14ac:dyDescent="0.25">
      <c r="A82" t="s">
        <v>140</v>
      </c>
      <c r="B82" t="s">
        <v>98</v>
      </c>
      <c r="C82" t="s">
        <v>35</v>
      </c>
      <c r="D82" t="s">
        <v>36</v>
      </c>
      <c r="E82" s="1">
        <v>46053</v>
      </c>
      <c r="F82" s="1">
        <v>46073</v>
      </c>
      <c r="G82" s="1">
        <v>46072</v>
      </c>
      <c r="H82" t="s">
        <v>32</v>
      </c>
      <c r="I82" t="s">
        <v>25</v>
      </c>
      <c r="J82" t="b">
        <v>0</v>
      </c>
      <c r="K82">
        <v>0</v>
      </c>
      <c r="L82">
        <v>3</v>
      </c>
    </row>
    <row r="83" spans="1:12" x14ac:dyDescent="0.25">
      <c r="A83" t="s">
        <v>141</v>
      </c>
      <c r="B83" t="s">
        <v>50</v>
      </c>
      <c r="C83" t="s">
        <v>14</v>
      </c>
      <c r="D83" t="s">
        <v>15</v>
      </c>
      <c r="E83" s="1">
        <v>45701</v>
      </c>
      <c r="F83" s="1">
        <v>45716</v>
      </c>
      <c r="H83" t="s">
        <v>24</v>
      </c>
      <c r="I83" t="s">
        <v>17</v>
      </c>
      <c r="J83" t="b">
        <v>0</v>
      </c>
      <c r="K83">
        <v>0</v>
      </c>
      <c r="L83">
        <v>6</v>
      </c>
    </row>
    <row r="84" spans="1:12" x14ac:dyDescent="0.25">
      <c r="A84" t="s">
        <v>142</v>
      </c>
      <c r="B84" t="s">
        <v>75</v>
      </c>
      <c r="C84" t="s">
        <v>35</v>
      </c>
      <c r="D84" t="s">
        <v>36</v>
      </c>
      <c r="E84" s="1">
        <v>45857</v>
      </c>
      <c r="F84" s="1">
        <v>45860</v>
      </c>
      <c r="G84" s="1">
        <v>45861</v>
      </c>
      <c r="H84" t="s">
        <v>32</v>
      </c>
      <c r="I84" t="s">
        <v>28</v>
      </c>
      <c r="J84" t="b">
        <v>1</v>
      </c>
      <c r="K84">
        <v>1</v>
      </c>
      <c r="L84">
        <v>9</v>
      </c>
    </row>
    <row r="85" spans="1:12" x14ac:dyDescent="0.25">
      <c r="A85" t="s">
        <v>143</v>
      </c>
      <c r="B85" t="s">
        <v>48</v>
      </c>
      <c r="C85" t="s">
        <v>20</v>
      </c>
      <c r="D85" t="s">
        <v>21</v>
      </c>
      <c r="E85" s="1">
        <v>46106</v>
      </c>
      <c r="F85" s="1">
        <v>46110</v>
      </c>
      <c r="G85" s="1">
        <v>46116</v>
      </c>
      <c r="H85" t="s">
        <v>32</v>
      </c>
      <c r="I85" t="s">
        <v>17</v>
      </c>
      <c r="J85" t="b">
        <v>1</v>
      </c>
      <c r="K85">
        <v>6</v>
      </c>
      <c r="L85">
        <v>10</v>
      </c>
    </row>
    <row r="86" spans="1:12" x14ac:dyDescent="0.25">
      <c r="A86" t="s">
        <v>144</v>
      </c>
      <c r="B86" t="s">
        <v>63</v>
      </c>
      <c r="C86" t="s">
        <v>35</v>
      </c>
      <c r="D86" t="s">
        <v>36</v>
      </c>
      <c r="E86" s="1">
        <v>46107</v>
      </c>
      <c r="F86" s="1">
        <v>46110</v>
      </c>
      <c r="G86" s="1">
        <v>46114</v>
      </c>
      <c r="H86" t="s">
        <v>32</v>
      </c>
      <c r="I86" t="s">
        <v>25</v>
      </c>
      <c r="J86" t="b">
        <v>1</v>
      </c>
      <c r="K86">
        <v>4</v>
      </c>
      <c r="L86">
        <v>3</v>
      </c>
    </row>
    <row r="87" spans="1:12" x14ac:dyDescent="0.25">
      <c r="A87" t="s">
        <v>145</v>
      </c>
      <c r="B87" t="s">
        <v>98</v>
      </c>
      <c r="C87" t="s">
        <v>54</v>
      </c>
      <c r="D87" t="s">
        <v>21</v>
      </c>
      <c r="E87" s="1">
        <v>45671</v>
      </c>
      <c r="F87" s="1">
        <v>45680</v>
      </c>
      <c r="H87" t="s">
        <v>16</v>
      </c>
      <c r="I87" t="s">
        <v>58</v>
      </c>
      <c r="J87" t="b">
        <v>1</v>
      </c>
      <c r="K87">
        <v>5</v>
      </c>
      <c r="L87">
        <v>7</v>
      </c>
    </row>
    <row r="88" spans="1:12" x14ac:dyDescent="0.25">
      <c r="A88" t="s">
        <v>146</v>
      </c>
      <c r="B88" t="s">
        <v>50</v>
      </c>
      <c r="C88" t="s">
        <v>27</v>
      </c>
      <c r="D88" t="s">
        <v>15</v>
      </c>
      <c r="E88" s="1">
        <v>46067</v>
      </c>
      <c r="F88" s="1">
        <v>46077</v>
      </c>
      <c r="G88" s="1">
        <v>46081</v>
      </c>
      <c r="H88" t="s">
        <v>32</v>
      </c>
      <c r="I88" t="s">
        <v>17</v>
      </c>
      <c r="J88" t="b">
        <v>1</v>
      </c>
      <c r="K88">
        <v>4</v>
      </c>
      <c r="L88">
        <v>2</v>
      </c>
    </row>
    <row r="89" spans="1:12" x14ac:dyDescent="0.25">
      <c r="A89" t="s">
        <v>147</v>
      </c>
      <c r="B89" t="s">
        <v>44</v>
      </c>
      <c r="C89" t="s">
        <v>112</v>
      </c>
      <c r="D89" t="s">
        <v>46</v>
      </c>
      <c r="E89" s="1">
        <v>45930</v>
      </c>
      <c r="F89" s="1">
        <v>45959</v>
      </c>
      <c r="G89" s="1">
        <v>45965</v>
      </c>
      <c r="H89" t="s">
        <v>32</v>
      </c>
      <c r="I89" t="s">
        <v>58</v>
      </c>
      <c r="J89" t="b">
        <v>1</v>
      </c>
      <c r="K89">
        <v>6</v>
      </c>
      <c r="L89">
        <v>1</v>
      </c>
    </row>
    <row r="90" spans="1:12" x14ac:dyDescent="0.25">
      <c r="A90" t="s">
        <v>148</v>
      </c>
      <c r="B90" t="s">
        <v>63</v>
      </c>
      <c r="C90" t="s">
        <v>107</v>
      </c>
      <c r="D90" t="s">
        <v>31</v>
      </c>
      <c r="E90" s="1">
        <v>46018</v>
      </c>
      <c r="F90" s="1">
        <v>46047</v>
      </c>
      <c r="G90" s="1">
        <v>46054</v>
      </c>
      <c r="H90" t="s">
        <v>32</v>
      </c>
      <c r="I90" t="s">
        <v>25</v>
      </c>
      <c r="J90" t="b">
        <v>1</v>
      </c>
      <c r="K90">
        <v>7</v>
      </c>
      <c r="L90">
        <v>3</v>
      </c>
    </row>
    <row r="91" spans="1:12" x14ac:dyDescent="0.25">
      <c r="A91" t="s">
        <v>149</v>
      </c>
      <c r="B91" t="s">
        <v>23</v>
      </c>
      <c r="C91" t="s">
        <v>14</v>
      </c>
      <c r="D91" t="s">
        <v>15</v>
      </c>
      <c r="E91" s="1">
        <v>45676</v>
      </c>
      <c r="F91" s="1">
        <v>45691</v>
      </c>
      <c r="H91" t="s">
        <v>16</v>
      </c>
      <c r="I91" t="s">
        <v>17</v>
      </c>
      <c r="J91" t="b">
        <v>1</v>
      </c>
      <c r="K91">
        <v>4</v>
      </c>
      <c r="L91">
        <v>8</v>
      </c>
    </row>
    <row r="92" spans="1:12" x14ac:dyDescent="0.25">
      <c r="A92" t="s">
        <v>150</v>
      </c>
      <c r="B92" t="s">
        <v>19</v>
      </c>
      <c r="C92" t="s">
        <v>14</v>
      </c>
      <c r="D92" t="s">
        <v>15</v>
      </c>
      <c r="E92" s="1">
        <v>45941</v>
      </c>
      <c r="F92" s="1">
        <v>45946</v>
      </c>
      <c r="H92" t="s">
        <v>16</v>
      </c>
      <c r="I92" t="s">
        <v>17</v>
      </c>
      <c r="J92" t="b">
        <v>1</v>
      </c>
      <c r="K92">
        <v>17</v>
      </c>
      <c r="L92">
        <v>2</v>
      </c>
    </row>
    <row r="93" spans="1:12" x14ac:dyDescent="0.25">
      <c r="A93" t="s">
        <v>151</v>
      </c>
      <c r="B93" t="s">
        <v>50</v>
      </c>
      <c r="C93" t="s">
        <v>27</v>
      </c>
      <c r="D93" t="s">
        <v>15</v>
      </c>
      <c r="E93" s="1">
        <v>45779</v>
      </c>
      <c r="F93" s="1">
        <v>45784</v>
      </c>
      <c r="G93" s="1">
        <v>45789</v>
      </c>
      <c r="H93" t="s">
        <v>32</v>
      </c>
      <c r="I93" t="s">
        <v>17</v>
      </c>
      <c r="J93" t="b">
        <v>1</v>
      </c>
      <c r="K93">
        <v>5</v>
      </c>
      <c r="L93">
        <v>2</v>
      </c>
    </row>
    <row r="94" spans="1:12" x14ac:dyDescent="0.25">
      <c r="A94" t="s">
        <v>152</v>
      </c>
      <c r="B94" t="s">
        <v>13</v>
      </c>
      <c r="C94" t="s">
        <v>20</v>
      </c>
      <c r="D94" t="s">
        <v>21</v>
      </c>
      <c r="E94" s="1">
        <v>45935</v>
      </c>
      <c r="F94" s="1">
        <v>45938</v>
      </c>
      <c r="G94" s="1">
        <v>45936</v>
      </c>
      <c r="H94" t="s">
        <v>32</v>
      </c>
      <c r="I94" t="s">
        <v>17</v>
      </c>
      <c r="J94" t="b">
        <v>0</v>
      </c>
      <c r="K94">
        <v>0</v>
      </c>
      <c r="L94">
        <v>10</v>
      </c>
    </row>
    <row r="95" spans="1:12" x14ac:dyDescent="0.25">
      <c r="A95" t="s">
        <v>153</v>
      </c>
      <c r="B95" t="s">
        <v>48</v>
      </c>
      <c r="C95" t="s">
        <v>45</v>
      </c>
      <c r="D95" t="s">
        <v>46</v>
      </c>
      <c r="E95" s="1">
        <v>45699</v>
      </c>
      <c r="F95" s="1">
        <v>45722</v>
      </c>
      <c r="G95" s="1">
        <v>45721</v>
      </c>
      <c r="H95" t="s">
        <v>32</v>
      </c>
      <c r="I95" t="s">
        <v>17</v>
      </c>
      <c r="J95" t="b">
        <v>0</v>
      </c>
      <c r="K95">
        <v>0</v>
      </c>
      <c r="L95">
        <v>9</v>
      </c>
    </row>
    <row r="96" spans="1:12" x14ac:dyDescent="0.25">
      <c r="A96" t="s">
        <v>154</v>
      </c>
      <c r="B96" t="s">
        <v>60</v>
      </c>
      <c r="C96" t="s">
        <v>42</v>
      </c>
      <c r="D96" t="s">
        <v>36</v>
      </c>
      <c r="E96" s="1">
        <v>45944</v>
      </c>
      <c r="F96" s="1">
        <v>45970</v>
      </c>
      <c r="H96" t="s">
        <v>16</v>
      </c>
      <c r="I96" t="s">
        <v>17</v>
      </c>
      <c r="J96" t="b">
        <v>1</v>
      </c>
      <c r="K96">
        <v>11</v>
      </c>
      <c r="L96">
        <v>10</v>
      </c>
    </row>
    <row r="97" spans="1:12" x14ac:dyDescent="0.25">
      <c r="A97" t="s">
        <v>155</v>
      </c>
      <c r="B97" t="s">
        <v>23</v>
      </c>
      <c r="C97" t="s">
        <v>27</v>
      </c>
      <c r="D97" t="s">
        <v>15</v>
      </c>
      <c r="E97" s="1">
        <v>45918</v>
      </c>
      <c r="F97" s="1">
        <v>45935</v>
      </c>
      <c r="G97" s="1">
        <v>45939</v>
      </c>
      <c r="H97" t="s">
        <v>32</v>
      </c>
      <c r="I97" t="s">
        <v>25</v>
      </c>
      <c r="J97" t="b">
        <v>1</v>
      </c>
      <c r="K97">
        <v>4</v>
      </c>
      <c r="L97">
        <v>2</v>
      </c>
    </row>
    <row r="98" spans="1:12" x14ac:dyDescent="0.25">
      <c r="A98" t="s">
        <v>156</v>
      </c>
      <c r="B98" t="s">
        <v>34</v>
      </c>
      <c r="C98" t="s">
        <v>45</v>
      </c>
      <c r="D98" t="s">
        <v>46</v>
      </c>
      <c r="E98" s="1">
        <v>45886</v>
      </c>
      <c r="F98" s="1">
        <v>45907</v>
      </c>
      <c r="G98" s="1">
        <v>45909</v>
      </c>
      <c r="H98" t="s">
        <v>32</v>
      </c>
      <c r="I98" t="s">
        <v>25</v>
      </c>
      <c r="J98" t="b">
        <v>1</v>
      </c>
      <c r="K98">
        <v>2</v>
      </c>
      <c r="L98">
        <v>7</v>
      </c>
    </row>
    <row r="99" spans="1:12" x14ac:dyDescent="0.25">
      <c r="A99" t="s">
        <v>157</v>
      </c>
      <c r="B99" t="s">
        <v>70</v>
      </c>
      <c r="C99" t="s">
        <v>112</v>
      </c>
      <c r="D99" t="s">
        <v>46</v>
      </c>
      <c r="E99" s="1">
        <v>45783</v>
      </c>
      <c r="F99" s="1">
        <v>45788</v>
      </c>
      <c r="G99" s="1">
        <v>45789</v>
      </c>
      <c r="H99" t="s">
        <v>32</v>
      </c>
      <c r="I99" t="s">
        <v>28</v>
      </c>
      <c r="J99" t="b">
        <v>1</v>
      </c>
      <c r="K99">
        <v>1</v>
      </c>
      <c r="L99">
        <v>5</v>
      </c>
    </row>
    <row r="100" spans="1:12" x14ac:dyDescent="0.25">
      <c r="A100" t="s">
        <v>158</v>
      </c>
      <c r="B100" t="s">
        <v>90</v>
      </c>
      <c r="C100" t="s">
        <v>52</v>
      </c>
      <c r="D100" t="s">
        <v>31</v>
      </c>
      <c r="E100" s="1">
        <v>45843</v>
      </c>
      <c r="F100" s="1">
        <v>45850</v>
      </c>
      <c r="H100" t="s">
        <v>24</v>
      </c>
      <c r="I100" t="s">
        <v>17</v>
      </c>
      <c r="J100" t="b">
        <v>0</v>
      </c>
      <c r="K100">
        <v>0</v>
      </c>
      <c r="L100">
        <v>5</v>
      </c>
    </row>
    <row r="101" spans="1:12" x14ac:dyDescent="0.25">
      <c r="A101" t="s">
        <v>159</v>
      </c>
      <c r="B101" t="s">
        <v>75</v>
      </c>
      <c r="C101" t="s">
        <v>27</v>
      </c>
      <c r="D101" t="s">
        <v>15</v>
      </c>
      <c r="E101" s="1">
        <v>46072</v>
      </c>
      <c r="F101" s="1">
        <v>46075</v>
      </c>
      <c r="H101" t="s">
        <v>24</v>
      </c>
      <c r="I101" t="s">
        <v>28</v>
      </c>
      <c r="J101" t="b">
        <v>0</v>
      </c>
      <c r="K101">
        <v>0</v>
      </c>
      <c r="L101">
        <v>7</v>
      </c>
    </row>
    <row r="102" spans="1:12" x14ac:dyDescent="0.25">
      <c r="A102" t="s">
        <v>160</v>
      </c>
      <c r="B102" t="s">
        <v>13</v>
      </c>
      <c r="C102" t="s">
        <v>30</v>
      </c>
      <c r="D102" t="s">
        <v>31</v>
      </c>
      <c r="E102" s="1">
        <v>45915</v>
      </c>
      <c r="F102" s="1">
        <v>45927</v>
      </c>
      <c r="G102" s="1">
        <v>45930</v>
      </c>
      <c r="H102" t="s">
        <v>32</v>
      </c>
      <c r="I102" t="s">
        <v>17</v>
      </c>
      <c r="J102" t="b">
        <v>1</v>
      </c>
      <c r="K102">
        <v>3</v>
      </c>
      <c r="L102">
        <v>5</v>
      </c>
    </row>
    <row r="103" spans="1:12" x14ac:dyDescent="0.25">
      <c r="A103" t="s">
        <v>161</v>
      </c>
      <c r="B103" t="s">
        <v>68</v>
      </c>
      <c r="C103" t="s">
        <v>91</v>
      </c>
      <c r="D103" t="s">
        <v>46</v>
      </c>
      <c r="E103" s="1">
        <v>45800</v>
      </c>
      <c r="F103" s="1">
        <v>45809</v>
      </c>
      <c r="H103" t="s">
        <v>24</v>
      </c>
      <c r="I103" t="s">
        <v>17</v>
      </c>
      <c r="J103" t="b">
        <v>0</v>
      </c>
      <c r="K103">
        <v>0</v>
      </c>
      <c r="L103">
        <v>8</v>
      </c>
    </row>
    <row r="104" spans="1:12" x14ac:dyDescent="0.25">
      <c r="A104" t="s">
        <v>162</v>
      </c>
      <c r="B104" t="s">
        <v>68</v>
      </c>
      <c r="C104" t="s">
        <v>38</v>
      </c>
      <c r="D104" t="s">
        <v>15</v>
      </c>
      <c r="E104" s="1">
        <v>45894</v>
      </c>
      <c r="F104" s="1">
        <v>45906</v>
      </c>
      <c r="G104" s="1">
        <v>45913</v>
      </c>
      <c r="H104" t="s">
        <v>32</v>
      </c>
      <c r="I104" t="s">
        <v>17</v>
      </c>
      <c r="J104" t="b">
        <v>1</v>
      </c>
      <c r="K104">
        <v>7</v>
      </c>
      <c r="L104">
        <v>6</v>
      </c>
    </row>
    <row r="105" spans="1:12" x14ac:dyDescent="0.25">
      <c r="A105" t="s">
        <v>163</v>
      </c>
      <c r="B105" t="s">
        <v>70</v>
      </c>
      <c r="C105" t="s">
        <v>20</v>
      </c>
      <c r="D105" t="s">
        <v>21</v>
      </c>
      <c r="E105" s="1">
        <v>46040</v>
      </c>
      <c r="F105" s="1">
        <v>46056</v>
      </c>
      <c r="H105" t="s">
        <v>16</v>
      </c>
      <c r="I105" t="s">
        <v>17</v>
      </c>
      <c r="J105" t="b">
        <v>1</v>
      </c>
      <c r="K105">
        <v>14</v>
      </c>
      <c r="L105">
        <v>2</v>
      </c>
    </row>
    <row r="106" spans="1:12" x14ac:dyDescent="0.25">
      <c r="A106" t="s">
        <v>164</v>
      </c>
      <c r="B106" t="s">
        <v>44</v>
      </c>
      <c r="C106" t="s">
        <v>20</v>
      </c>
      <c r="D106" t="s">
        <v>21</v>
      </c>
      <c r="E106" s="1">
        <v>45830</v>
      </c>
      <c r="F106" s="1">
        <v>45846</v>
      </c>
      <c r="G106" s="1">
        <v>45844</v>
      </c>
      <c r="H106" t="s">
        <v>32</v>
      </c>
      <c r="I106" t="s">
        <v>17</v>
      </c>
      <c r="J106" t="b">
        <v>0</v>
      </c>
      <c r="K106">
        <v>0</v>
      </c>
      <c r="L106">
        <v>6</v>
      </c>
    </row>
    <row r="107" spans="1:12" x14ac:dyDescent="0.25">
      <c r="A107" t="s">
        <v>165</v>
      </c>
      <c r="B107" t="s">
        <v>13</v>
      </c>
      <c r="C107" t="s">
        <v>14</v>
      </c>
      <c r="D107" t="s">
        <v>15</v>
      </c>
      <c r="E107" s="1">
        <v>45692</v>
      </c>
      <c r="F107" s="1">
        <v>45702</v>
      </c>
      <c r="H107" t="s">
        <v>16</v>
      </c>
      <c r="I107" t="s">
        <v>58</v>
      </c>
      <c r="J107" t="b">
        <v>1</v>
      </c>
      <c r="K107">
        <v>11</v>
      </c>
      <c r="L107">
        <v>9</v>
      </c>
    </row>
    <row r="108" spans="1:12" x14ac:dyDescent="0.25">
      <c r="A108" t="s">
        <v>166</v>
      </c>
      <c r="B108" t="s">
        <v>87</v>
      </c>
      <c r="C108" t="s">
        <v>42</v>
      </c>
      <c r="D108" t="s">
        <v>36</v>
      </c>
      <c r="E108" s="1">
        <v>46064</v>
      </c>
      <c r="F108" s="1">
        <v>46067</v>
      </c>
      <c r="G108" s="1">
        <v>46069</v>
      </c>
      <c r="H108" t="s">
        <v>32</v>
      </c>
      <c r="I108" t="s">
        <v>28</v>
      </c>
      <c r="J108" t="b">
        <v>1</v>
      </c>
      <c r="K108">
        <v>2</v>
      </c>
      <c r="L108">
        <v>1</v>
      </c>
    </row>
    <row r="109" spans="1:12" x14ac:dyDescent="0.25">
      <c r="A109" t="s">
        <v>167</v>
      </c>
      <c r="B109" t="s">
        <v>66</v>
      </c>
      <c r="C109" t="s">
        <v>61</v>
      </c>
      <c r="D109" t="s">
        <v>21</v>
      </c>
      <c r="E109" s="1">
        <v>45765</v>
      </c>
      <c r="F109" s="1">
        <v>45784</v>
      </c>
      <c r="G109" s="1">
        <v>45788</v>
      </c>
      <c r="H109" t="s">
        <v>32</v>
      </c>
      <c r="I109" t="s">
        <v>25</v>
      </c>
      <c r="J109" t="b">
        <v>1</v>
      </c>
      <c r="K109">
        <v>4</v>
      </c>
      <c r="L109">
        <v>8</v>
      </c>
    </row>
    <row r="110" spans="1:12" x14ac:dyDescent="0.25">
      <c r="A110" t="s">
        <v>168</v>
      </c>
      <c r="B110" t="s">
        <v>90</v>
      </c>
      <c r="C110" t="s">
        <v>14</v>
      </c>
      <c r="D110" t="s">
        <v>15</v>
      </c>
      <c r="E110" s="1">
        <v>45860</v>
      </c>
      <c r="F110" s="1">
        <v>45883</v>
      </c>
      <c r="H110" t="s">
        <v>39</v>
      </c>
      <c r="I110" t="s">
        <v>28</v>
      </c>
      <c r="J110" t="b">
        <v>0</v>
      </c>
      <c r="K110">
        <v>0</v>
      </c>
      <c r="L110">
        <v>1</v>
      </c>
    </row>
    <row r="111" spans="1:12" x14ac:dyDescent="0.25">
      <c r="A111" t="s">
        <v>169</v>
      </c>
      <c r="B111" t="s">
        <v>78</v>
      </c>
      <c r="C111" t="s">
        <v>27</v>
      </c>
      <c r="D111" t="s">
        <v>15</v>
      </c>
      <c r="E111" s="1">
        <v>45832</v>
      </c>
      <c r="F111" s="1">
        <v>45859</v>
      </c>
      <c r="H111" t="s">
        <v>24</v>
      </c>
      <c r="I111" t="s">
        <v>17</v>
      </c>
      <c r="J111" t="b">
        <v>0</v>
      </c>
      <c r="K111">
        <v>0</v>
      </c>
      <c r="L111">
        <v>4</v>
      </c>
    </row>
    <row r="112" spans="1:12" x14ac:dyDescent="0.25">
      <c r="A112" t="s">
        <v>170</v>
      </c>
      <c r="B112" t="s">
        <v>19</v>
      </c>
      <c r="C112" t="s">
        <v>52</v>
      </c>
      <c r="D112" t="s">
        <v>31</v>
      </c>
      <c r="E112" s="1">
        <v>45868</v>
      </c>
      <c r="F112" s="1">
        <v>45875</v>
      </c>
      <c r="G112" s="1">
        <v>45880</v>
      </c>
      <c r="H112" t="s">
        <v>32</v>
      </c>
      <c r="I112" t="s">
        <v>58</v>
      </c>
      <c r="J112" t="b">
        <v>1</v>
      </c>
      <c r="K112">
        <v>5</v>
      </c>
      <c r="L112">
        <v>8</v>
      </c>
    </row>
    <row r="113" spans="1:12" x14ac:dyDescent="0.25">
      <c r="A113" t="s">
        <v>171</v>
      </c>
      <c r="B113" t="s">
        <v>85</v>
      </c>
      <c r="C113" t="s">
        <v>54</v>
      </c>
      <c r="D113" t="s">
        <v>21</v>
      </c>
      <c r="E113" s="1">
        <v>45748</v>
      </c>
      <c r="F113" s="1">
        <v>45773</v>
      </c>
      <c r="H113" t="s">
        <v>39</v>
      </c>
      <c r="I113" t="s">
        <v>25</v>
      </c>
      <c r="J113" t="b">
        <v>0</v>
      </c>
      <c r="K113">
        <v>0</v>
      </c>
      <c r="L113">
        <v>10</v>
      </c>
    </row>
    <row r="114" spans="1:12" x14ac:dyDescent="0.25">
      <c r="A114" t="s">
        <v>172</v>
      </c>
      <c r="B114" t="s">
        <v>44</v>
      </c>
      <c r="C114" t="s">
        <v>61</v>
      </c>
      <c r="D114" t="s">
        <v>21</v>
      </c>
      <c r="E114" s="1">
        <v>45834</v>
      </c>
      <c r="F114" s="1">
        <v>45845</v>
      </c>
      <c r="G114" s="1">
        <v>45843</v>
      </c>
      <c r="H114" t="s">
        <v>32</v>
      </c>
      <c r="I114" t="s">
        <v>28</v>
      </c>
      <c r="J114" t="b">
        <v>0</v>
      </c>
      <c r="K114">
        <v>0</v>
      </c>
      <c r="L114">
        <v>10</v>
      </c>
    </row>
    <row r="115" spans="1:12" x14ac:dyDescent="0.25">
      <c r="A115" t="s">
        <v>173</v>
      </c>
      <c r="B115" t="s">
        <v>70</v>
      </c>
      <c r="C115" t="s">
        <v>61</v>
      </c>
      <c r="D115" t="s">
        <v>21</v>
      </c>
      <c r="E115" s="1">
        <v>45725</v>
      </c>
      <c r="F115" s="1">
        <v>45736</v>
      </c>
      <c r="G115" s="1">
        <v>45735</v>
      </c>
      <c r="H115" t="s">
        <v>32</v>
      </c>
      <c r="I115" t="s">
        <v>17</v>
      </c>
      <c r="J115" t="b">
        <v>0</v>
      </c>
      <c r="K115">
        <v>0</v>
      </c>
      <c r="L115">
        <v>8</v>
      </c>
    </row>
    <row r="116" spans="1:12" x14ac:dyDescent="0.25">
      <c r="A116" t="s">
        <v>174</v>
      </c>
      <c r="B116" t="s">
        <v>66</v>
      </c>
      <c r="C116" t="s">
        <v>45</v>
      </c>
      <c r="D116" t="s">
        <v>46</v>
      </c>
      <c r="E116" s="1">
        <v>45789</v>
      </c>
      <c r="F116" s="1">
        <v>45797</v>
      </c>
      <c r="G116" s="1">
        <v>45799</v>
      </c>
      <c r="H116" t="s">
        <v>32</v>
      </c>
      <c r="I116" t="s">
        <v>58</v>
      </c>
      <c r="J116" t="b">
        <v>1</v>
      </c>
      <c r="K116">
        <v>2</v>
      </c>
      <c r="L116">
        <v>10</v>
      </c>
    </row>
    <row r="117" spans="1:12" x14ac:dyDescent="0.25">
      <c r="A117" t="s">
        <v>175</v>
      </c>
      <c r="B117" t="s">
        <v>60</v>
      </c>
      <c r="C117" t="s">
        <v>107</v>
      </c>
      <c r="D117" t="s">
        <v>31</v>
      </c>
      <c r="E117" s="1">
        <v>45767</v>
      </c>
      <c r="F117" s="1">
        <v>45792</v>
      </c>
      <c r="G117" s="1">
        <v>45798</v>
      </c>
      <c r="H117" t="s">
        <v>32</v>
      </c>
      <c r="I117" t="s">
        <v>17</v>
      </c>
      <c r="J117" t="b">
        <v>1</v>
      </c>
      <c r="K117">
        <v>6</v>
      </c>
      <c r="L117">
        <v>6</v>
      </c>
    </row>
    <row r="118" spans="1:12" x14ac:dyDescent="0.25">
      <c r="A118" t="s">
        <v>176</v>
      </c>
      <c r="B118" t="s">
        <v>78</v>
      </c>
      <c r="C118" t="s">
        <v>61</v>
      </c>
      <c r="D118" t="s">
        <v>21</v>
      </c>
      <c r="E118" s="1">
        <v>46001</v>
      </c>
      <c r="F118" s="1">
        <v>46020</v>
      </c>
      <c r="H118" t="s">
        <v>24</v>
      </c>
      <c r="I118" t="s">
        <v>17</v>
      </c>
      <c r="J118" t="b">
        <v>0</v>
      </c>
      <c r="K118">
        <v>0</v>
      </c>
      <c r="L118">
        <v>7</v>
      </c>
    </row>
    <row r="119" spans="1:12" x14ac:dyDescent="0.25">
      <c r="A119" t="s">
        <v>177</v>
      </c>
      <c r="B119" t="s">
        <v>75</v>
      </c>
      <c r="C119" t="s">
        <v>76</v>
      </c>
      <c r="D119" t="s">
        <v>36</v>
      </c>
      <c r="E119" s="1">
        <v>46077</v>
      </c>
      <c r="F119" s="1">
        <v>46102</v>
      </c>
      <c r="G119" s="1">
        <v>46103</v>
      </c>
      <c r="H119" t="s">
        <v>32</v>
      </c>
      <c r="I119" t="s">
        <v>28</v>
      </c>
      <c r="J119" t="b">
        <v>1</v>
      </c>
      <c r="K119">
        <v>1</v>
      </c>
      <c r="L119">
        <v>9</v>
      </c>
    </row>
    <row r="120" spans="1:12" x14ac:dyDescent="0.25">
      <c r="A120" t="s">
        <v>178</v>
      </c>
      <c r="B120" t="s">
        <v>19</v>
      </c>
      <c r="C120" t="s">
        <v>20</v>
      </c>
      <c r="D120" t="s">
        <v>21</v>
      </c>
      <c r="E120" s="1">
        <v>45851</v>
      </c>
      <c r="F120" s="1">
        <v>45878</v>
      </c>
      <c r="H120" t="s">
        <v>16</v>
      </c>
      <c r="I120" t="s">
        <v>17</v>
      </c>
      <c r="J120" t="b">
        <v>1</v>
      </c>
      <c r="K120">
        <v>6</v>
      </c>
      <c r="L120">
        <v>4</v>
      </c>
    </row>
    <row r="121" spans="1:12" x14ac:dyDescent="0.25">
      <c r="A121" t="s">
        <v>179</v>
      </c>
      <c r="B121" t="s">
        <v>34</v>
      </c>
      <c r="C121" t="s">
        <v>91</v>
      </c>
      <c r="D121" t="s">
        <v>46</v>
      </c>
      <c r="E121" s="1">
        <v>46039</v>
      </c>
      <c r="F121" s="1">
        <v>46056</v>
      </c>
      <c r="G121" s="1">
        <v>46059</v>
      </c>
      <c r="H121" t="s">
        <v>32</v>
      </c>
      <c r="I121" t="s">
        <v>25</v>
      </c>
      <c r="J121" t="b">
        <v>1</v>
      </c>
      <c r="K121">
        <v>3</v>
      </c>
      <c r="L121">
        <v>6</v>
      </c>
    </row>
    <row r="122" spans="1:12" x14ac:dyDescent="0.25">
      <c r="A122" t="s">
        <v>180</v>
      </c>
      <c r="B122" t="s">
        <v>68</v>
      </c>
      <c r="C122" t="s">
        <v>14</v>
      </c>
      <c r="D122" t="s">
        <v>15</v>
      </c>
      <c r="E122" s="1">
        <v>45834</v>
      </c>
      <c r="F122" s="1">
        <v>45841</v>
      </c>
      <c r="H122" t="s">
        <v>39</v>
      </c>
      <c r="I122" t="s">
        <v>28</v>
      </c>
      <c r="J122" t="b">
        <v>0</v>
      </c>
      <c r="K122">
        <v>0</v>
      </c>
      <c r="L122">
        <v>7</v>
      </c>
    </row>
    <row r="123" spans="1:12" x14ac:dyDescent="0.25">
      <c r="A123" t="s">
        <v>181</v>
      </c>
      <c r="B123" t="s">
        <v>68</v>
      </c>
      <c r="C123" t="s">
        <v>76</v>
      </c>
      <c r="D123" t="s">
        <v>36</v>
      </c>
      <c r="E123" s="1">
        <v>46075</v>
      </c>
      <c r="F123" s="1">
        <v>46096</v>
      </c>
      <c r="G123" s="1">
        <v>46098</v>
      </c>
      <c r="H123" t="s">
        <v>32</v>
      </c>
      <c r="I123" t="s">
        <v>28</v>
      </c>
      <c r="J123" t="b">
        <v>1</v>
      </c>
      <c r="K123">
        <v>2</v>
      </c>
      <c r="L123">
        <v>4</v>
      </c>
    </row>
    <row r="124" spans="1:12" x14ac:dyDescent="0.25">
      <c r="A124" t="s">
        <v>182</v>
      </c>
      <c r="B124" t="s">
        <v>23</v>
      </c>
      <c r="C124" t="s">
        <v>27</v>
      </c>
      <c r="D124" t="s">
        <v>15</v>
      </c>
      <c r="E124" s="1">
        <v>45783</v>
      </c>
      <c r="F124" s="1">
        <v>45790</v>
      </c>
      <c r="G124" s="1">
        <v>45795</v>
      </c>
      <c r="H124" t="s">
        <v>32</v>
      </c>
      <c r="I124" t="s">
        <v>17</v>
      </c>
      <c r="J124" t="b">
        <v>1</v>
      </c>
      <c r="K124">
        <v>5</v>
      </c>
      <c r="L124">
        <v>4</v>
      </c>
    </row>
    <row r="125" spans="1:12" x14ac:dyDescent="0.25">
      <c r="A125" t="s">
        <v>183</v>
      </c>
      <c r="B125" t="s">
        <v>98</v>
      </c>
      <c r="C125" t="s">
        <v>20</v>
      </c>
      <c r="D125" t="s">
        <v>21</v>
      </c>
      <c r="E125" s="1">
        <v>45872</v>
      </c>
      <c r="F125" s="1">
        <v>45901</v>
      </c>
      <c r="H125" t="s">
        <v>24</v>
      </c>
      <c r="I125" t="s">
        <v>25</v>
      </c>
      <c r="J125" t="b">
        <v>0</v>
      </c>
      <c r="K125">
        <v>0</v>
      </c>
      <c r="L125">
        <v>7</v>
      </c>
    </row>
    <row r="126" spans="1:12" x14ac:dyDescent="0.25">
      <c r="A126" t="s">
        <v>184</v>
      </c>
      <c r="B126" t="s">
        <v>90</v>
      </c>
      <c r="C126" t="s">
        <v>38</v>
      </c>
      <c r="D126" t="s">
        <v>15</v>
      </c>
      <c r="E126" s="1">
        <v>45938</v>
      </c>
      <c r="F126" s="1">
        <v>45962</v>
      </c>
      <c r="H126" t="s">
        <v>24</v>
      </c>
      <c r="I126" t="s">
        <v>25</v>
      </c>
      <c r="J126" t="b">
        <v>0</v>
      </c>
      <c r="K126">
        <v>0</v>
      </c>
      <c r="L126">
        <v>3</v>
      </c>
    </row>
    <row r="127" spans="1:12" x14ac:dyDescent="0.25">
      <c r="A127" t="s">
        <v>185</v>
      </c>
      <c r="B127" t="s">
        <v>44</v>
      </c>
      <c r="C127" t="s">
        <v>27</v>
      </c>
      <c r="D127" t="s">
        <v>15</v>
      </c>
      <c r="E127" s="1">
        <v>45856</v>
      </c>
      <c r="F127" s="1">
        <v>45876</v>
      </c>
      <c r="H127" t="s">
        <v>16</v>
      </c>
      <c r="I127" t="s">
        <v>28</v>
      </c>
      <c r="J127" t="b">
        <v>1</v>
      </c>
      <c r="K127">
        <v>11</v>
      </c>
      <c r="L127">
        <v>9</v>
      </c>
    </row>
    <row r="128" spans="1:12" x14ac:dyDescent="0.25">
      <c r="A128" t="s">
        <v>186</v>
      </c>
      <c r="B128" t="s">
        <v>66</v>
      </c>
      <c r="C128" t="s">
        <v>107</v>
      </c>
      <c r="D128" t="s">
        <v>31</v>
      </c>
      <c r="E128" s="1">
        <v>45787</v>
      </c>
      <c r="F128" s="1">
        <v>45812</v>
      </c>
      <c r="H128" t="s">
        <v>39</v>
      </c>
      <c r="I128" t="s">
        <v>25</v>
      </c>
      <c r="J128" t="b">
        <v>0</v>
      </c>
      <c r="K128">
        <v>0</v>
      </c>
      <c r="L128">
        <v>7</v>
      </c>
    </row>
    <row r="129" spans="1:12" x14ac:dyDescent="0.25">
      <c r="A129" t="s">
        <v>187</v>
      </c>
      <c r="B129" t="s">
        <v>41</v>
      </c>
      <c r="C129" t="s">
        <v>38</v>
      </c>
      <c r="D129" t="s">
        <v>15</v>
      </c>
      <c r="E129" s="1">
        <v>45791</v>
      </c>
      <c r="F129" s="1">
        <v>45795</v>
      </c>
      <c r="G129" s="1">
        <v>45798</v>
      </c>
      <c r="H129" t="s">
        <v>32</v>
      </c>
      <c r="I129" t="s">
        <v>17</v>
      </c>
      <c r="J129" t="b">
        <v>1</v>
      </c>
      <c r="K129">
        <v>3</v>
      </c>
      <c r="L129">
        <v>1</v>
      </c>
    </row>
    <row r="130" spans="1:12" x14ac:dyDescent="0.25">
      <c r="A130" t="s">
        <v>188</v>
      </c>
      <c r="B130" t="s">
        <v>34</v>
      </c>
      <c r="C130" t="s">
        <v>38</v>
      </c>
      <c r="D130" t="s">
        <v>15</v>
      </c>
      <c r="E130" s="1">
        <v>45804</v>
      </c>
      <c r="F130" s="1">
        <v>45833</v>
      </c>
      <c r="H130" t="s">
        <v>39</v>
      </c>
      <c r="I130" t="s">
        <v>17</v>
      </c>
      <c r="J130" t="b">
        <v>0</v>
      </c>
      <c r="K130">
        <v>0</v>
      </c>
      <c r="L130">
        <v>9</v>
      </c>
    </row>
    <row r="131" spans="1:12" x14ac:dyDescent="0.25">
      <c r="A131" t="s">
        <v>189</v>
      </c>
      <c r="B131" t="s">
        <v>57</v>
      </c>
      <c r="C131" t="s">
        <v>45</v>
      </c>
      <c r="D131" t="s">
        <v>46</v>
      </c>
      <c r="E131" s="1">
        <v>45907</v>
      </c>
      <c r="F131" s="1">
        <v>45924</v>
      </c>
      <c r="G131" s="1">
        <v>45930</v>
      </c>
      <c r="H131" t="s">
        <v>32</v>
      </c>
      <c r="I131" t="s">
        <v>17</v>
      </c>
      <c r="J131" t="b">
        <v>1</v>
      </c>
      <c r="K131">
        <v>6</v>
      </c>
      <c r="L131">
        <v>5</v>
      </c>
    </row>
    <row r="132" spans="1:12" x14ac:dyDescent="0.25">
      <c r="A132" t="s">
        <v>190</v>
      </c>
      <c r="B132" t="s">
        <v>13</v>
      </c>
      <c r="C132" t="s">
        <v>45</v>
      </c>
      <c r="D132" t="s">
        <v>46</v>
      </c>
      <c r="E132" s="1">
        <v>45825</v>
      </c>
      <c r="F132" s="1">
        <v>45853</v>
      </c>
      <c r="G132" s="1">
        <v>45851</v>
      </c>
      <c r="H132" t="s">
        <v>32</v>
      </c>
      <c r="I132" t="s">
        <v>25</v>
      </c>
      <c r="J132" t="b">
        <v>0</v>
      </c>
      <c r="K132">
        <v>0</v>
      </c>
      <c r="L132">
        <v>10</v>
      </c>
    </row>
    <row r="133" spans="1:12" x14ac:dyDescent="0.25">
      <c r="A133" t="s">
        <v>191</v>
      </c>
      <c r="B133" t="s">
        <v>63</v>
      </c>
      <c r="C133" t="s">
        <v>42</v>
      </c>
      <c r="D133" t="s">
        <v>36</v>
      </c>
      <c r="E133" s="1">
        <v>46006</v>
      </c>
      <c r="F133" s="1">
        <v>46009</v>
      </c>
      <c r="H133" t="s">
        <v>24</v>
      </c>
      <c r="I133" t="s">
        <v>17</v>
      </c>
      <c r="J133" t="b">
        <v>0</v>
      </c>
      <c r="K133">
        <v>0</v>
      </c>
      <c r="L133">
        <v>2</v>
      </c>
    </row>
    <row r="134" spans="1:12" x14ac:dyDescent="0.25">
      <c r="A134" t="s">
        <v>192</v>
      </c>
      <c r="B134" t="s">
        <v>50</v>
      </c>
      <c r="C134" t="s">
        <v>61</v>
      </c>
      <c r="D134" t="s">
        <v>21</v>
      </c>
      <c r="E134" s="1">
        <v>46066</v>
      </c>
      <c r="F134" s="1">
        <v>46075</v>
      </c>
      <c r="H134" t="s">
        <v>16</v>
      </c>
      <c r="I134" t="s">
        <v>17</v>
      </c>
      <c r="J134" t="b">
        <v>1</v>
      </c>
      <c r="K134">
        <v>2</v>
      </c>
      <c r="L134">
        <v>4</v>
      </c>
    </row>
    <row r="135" spans="1:12" x14ac:dyDescent="0.25">
      <c r="A135" t="s">
        <v>193</v>
      </c>
      <c r="B135" t="s">
        <v>19</v>
      </c>
      <c r="C135" t="s">
        <v>52</v>
      </c>
      <c r="D135" t="s">
        <v>31</v>
      </c>
      <c r="E135" s="1">
        <v>45776</v>
      </c>
      <c r="F135" s="1">
        <v>45797</v>
      </c>
      <c r="G135" s="1">
        <v>45800</v>
      </c>
      <c r="H135" t="s">
        <v>32</v>
      </c>
      <c r="I135" t="s">
        <v>25</v>
      </c>
      <c r="J135" t="b">
        <v>1</v>
      </c>
      <c r="K135">
        <v>3</v>
      </c>
      <c r="L135">
        <v>10</v>
      </c>
    </row>
    <row r="136" spans="1:12" x14ac:dyDescent="0.25">
      <c r="A136" t="s">
        <v>194</v>
      </c>
      <c r="B136" t="s">
        <v>63</v>
      </c>
      <c r="C136" t="s">
        <v>76</v>
      </c>
      <c r="D136" t="s">
        <v>36</v>
      </c>
      <c r="E136" s="1">
        <v>45772</v>
      </c>
      <c r="F136" s="1">
        <v>45781</v>
      </c>
      <c r="H136" t="s">
        <v>16</v>
      </c>
      <c r="I136" t="s">
        <v>17</v>
      </c>
      <c r="J136" t="b">
        <v>1</v>
      </c>
      <c r="K136">
        <v>8</v>
      </c>
      <c r="L136">
        <v>7</v>
      </c>
    </row>
    <row r="137" spans="1:12" x14ac:dyDescent="0.25">
      <c r="A137" t="s">
        <v>195</v>
      </c>
      <c r="B137" t="s">
        <v>60</v>
      </c>
      <c r="C137" t="s">
        <v>61</v>
      </c>
      <c r="D137" t="s">
        <v>21</v>
      </c>
      <c r="E137" s="1">
        <v>45977</v>
      </c>
      <c r="F137" s="1">
        <v>45995</v>
      </c>
      <c r="H137" t="s">
        <v>16</v>
      </c>
      <c r="I137" t="s">
        <v>28</v>
      </c>
      <c r="J137" t="b">
        <v>1</v>
      </c>
      <c r="K137">
        <v>9</v>
      </c>
      <c r="L137">
        <v>10</v>
      </c>
    </row>
    <row r="138" spans="1:12" x14ac:dyDescent="0.25">
      <c r="A138" t="s">
        <v>196</v>
      </c>
      <c r="B138" t="s">
        <v>66</v>
      </c>
      <c r="C138" t="s">
        <v>42</v>
      </c>
      <c r="D138" t="s">
        <v>36</v>
      </c>
      <c r="E138" s="1">
        <v>45963</v>
      </c>
      <c r="F138" s="1">
        <v>45968</v>
      </c>
      <c r="H138" t="s">
        <v>16</v>
      </c>
      <c r="I138" t="s">
        <v>28</v>
      </c>
      <c r="J138" t="b">
        <v>1</v>
      </c>
      <c r="K138">
        <v>13</v>
      </c>
      <c r="L138">
        <v>9</v>
      </c>
    </row>
    <row r="139" spans="1:12" x14ac:dyDescent="0.25">
      <c r="A139" t="s">
        <v>197</v>
      </c>
      <c r="B139" t="s">
        <v>90</v>
      </c>
      <c r="C139" t="s">
        <v>42</v>
      </c>
      <c r="D139" t="s">
        <v>36</v>
      </c>
      <c r="E139" s="1">
        <v>45945</v>
      </c>
      <c r="F139" s="1">
        <v>45956</v>
      </c>
      <c r="H139" t="s">
        <v>16</v>
      </c>
      <c r="I139" t="s">
        <v>17</v>
      </c>
      <c r="J139" t="b">
        <v>1</v>
      </c>
      <c r="K139">
        <v>15</v>
      </c>
      <c r="L139">
        <v>6</v>
      </c>
    </row>
    <row r="140" spans="1:12" x14ac:dyDescent="0.25">
      <c r="A140" t="s">
        <v>198</v>
      </c>
      <c r="B140" t="s">
        <v>90</v>
      </c>
      <c r="C140" t="s">
        <v>27</v>
      </c>
      <c r="D140" t="s">
        <v>15</v>
      </c>
      <c r="E140" s="1">
        <v>46043</v>
      </c>
      <c r="F140" s="1">
        <v>46064</v>
      </c>
      <c r="H140" t="s">
        <v>24</v>
      </c>
      <c r="I140" t="s">
        <v>28</v>
      </c>
      <c r="J140" t="b">
        <v>0</v>
      </c>
      <c r="K140">
        <v>0</v>
      </c>
      <c r="L140">
        <v>2</v>
      </c>
    </row>
    <row r="141" spans="1:12" x14ac:dyDescent="0.25">
      <c r="A141" t="s">
        <v>199</v>
      </c>
      <c r="B141" t="s">
        <v>57</v>
      </c>
      <c r="C141" t="s">
        <v>38</v>
      </c>
      <c r="D141" t="s">
        <v>15</v>
      </c>
      <c r="E141" s="1">
        <v>45881</v>
      </c>
      <c r="F141" s="1">
        <v>45893</v>
      </c>
      <c r="H141" t="s">
        <v>39</v>
      </c>
      <c r="I141" t="s">
        <v>28</v>
      </c>
      <c r="J141" t="b">
        <v>0</v>
      </c>
      <c r="K141">
        <v>0</v>
      </c>
      <c r="L141">
        <v>6</v>
      </c>
    </row>
    <row r="142" spans="1:12" x14ac:dyDescent="0.25">
      <c r="A142" t="s">
        <v>200</v>
      </c>
      <c r="B142" t="s">
        <v>57</v>
      </c>
      <c r="C142" t="s">
        <v>54</v>
      </c>
      <c r="D142" t="s">
        <v>21</v>
      </c>
      <c r="E142" s="1">
        <v>45907</v>
      </c>
      <c r="F142" s="1">
        <v>45910</v>
      </c>
      <c r="G142" s="1">
        <v>45911</v>
      </c>
      <c r="H142" t="s">
        <v>32</v>
      </c>
      <c r="I142" t="s">
        <v>28</v>
      </c>
      <c r="J142" t="b">
        <v>1</v>
      </c>
      <c r="K142">
        <v>1</v>
      </c>
      <c r="L142">
        <v>4</v>
      </c>
    </row>
    <row r="143" spans="1:12" x14ac:dyDescent="0.25">
      <c r="A143" t="s">
        <v>201</v>
      </c>
      <c r="B143" t="s">
        <v>23</v>
      </c>
      <c r="C143" t="s">
        <v>27</v>
      </c>
      <c r="D143" t="s">
        <v>15</v>
      </c>
      <c r="E143" s="1">
        <v>46057</v>
      </c>
      <c r="F143" s="1">
        <v>46085</v>
      </c>
      <c r="G143" s="1">
        <v>46092</v>
      </c>
      <c r="H143" t="s">
        <v>32</v>
      </c>
      <c r="I143" t="s">
        <v>17</v>
      </c>
      <c r="J143" t="b">
        <v>1</v>
      </c>
      <c r="K143">
        <v>7</v>
      </c>
      <c r="L143">
        <v>5</v>
      </c>
    </row>
    <row r="144" spans="1:12" x14ac:dyDescent="0.25">
      <c r="A144" t="s">
        <v>202</v>
      </c>
      <c r="B144" t="s">
        <v>98</v>
      </c>
      <c r="C144" t="s">
        <v>38</v>
      </c>
      <c r="D144" t="s">
        <v>15</v>
      </c>
      <c r="E144" s="1">
        <v>45831</v>
      </c>
      <c r="F144" s="1">
        <v>45840</v>
      </c>
      <c r="G144" s="1">
        <v>45843</v>
      </c>
      <c r="H144" t="s">
        <v>32</v>
      </c>
      <c r="I144" t="s">
        <v>17</v>
      </c>
      <c r="J144" t="b">
        <v>1</v>
      </c>
      <c r="K144">
        <v>3</v>
      </c>
      <c r="L144">
        <v>4</v>
      </c>
    </row>
    <row r="145" spans="1:12" x14ac:dyDescent="0.25">
      <c r="A145" t="s">
        <v>203</v>
      </c>
      <c r="B145" t="s">
        <v>87</v>
      </c>
      <c r="C145" t="s">
        <v>30</v>
      </c>
      <c r="D145" t="s">
        <v>31</v>
      </c>
      <c r="E145" s="1">
        <v>45755</v>
      </c>
      <c r="F145" s="1">
        <v>45773</v>
      </c>
      <c r="G145" s="1">
        <v>45777</v>
      </c>
      <c r="H145" t="s">
        <v>32</v>
      </c>
      <c r="I145" t="s">
        <v>25</v>
      </c>
      <c r="J145" t="b">
        <v>1</v>
      </c>
      <c r="K145">
        <v>4</v>
      </c>
      <c r="L145">
        <v>10</v>
      </c>
    </row>
    <row r="146" spans="1:12" x14ac:dyDescent="0.25">
      <c r="A146" t="s">
        <v>204</v>
      </c>
      <c r="B146" t="s">
        <v>75</v>
      </c>
      <c r="C146" t="s">
        <v>52</v>
      </c>
      <c r="D146" t="s">
        <v>31</v>
      </c>
      <c r="E146" s="1">
        <v>45737</v>
      </c>
      <c r="F146" s="1">
        <v>45744</v>
      </c>
      <c r="G146" s="1">
        <v>45745</v>
      </c>
      <c r="H146" t="s">
        <v>32</v>
      </c>
      <c r="I146" t="s">
        <v>28</v>
      </c>
      <c r="J146" t="b">
        <v>1</v>
      </c>
      <c r="K146">
        <v>1</v>
      </c>
      <c r="L146">
        <v>3</v>
      </c>
    </row>
    <row r="147" spans="1:12" x14ac:dyDescent="0.25">
      <c r="A147" t="s">
        <v>205</v>
      </c>
      <c r="B147" t="s">
        <v>78</v>
      </c>
      <c r="C147" t="s">
        <v>112</v>
      </c>
      <c r="D147" t="s">
        <v>46</v>
      </c>
      <c r="E147" s="1">
        <v>45921</v>
      </c>
      <c r="F147" s="1">
        <v>45945</v>
      </c>
      <c r="H147" t="s">
        <v>24</v>
      </c>
      <c r="I147" t="s">
        <v>28</v>
      </c>
      <c r="J147" t="b">
        <v>0</v>
      </c>
      <c r="K147">
        <v>0</v>
      </c>
      <c r="L147">
        <v>3</v>
      </c>
    </row>
    <row r="148" spans="1:12" x14ac:dyDescent="0.25">
      <c r="A148" t="s">
        <v>206</v>
      </c>
      <c r="B148" t="s">
        <v>85</v>
      </c>
      <c r="C148" t="s">
        <v>52</v>
      </c>
      <c r="D148" t="s">
        <v>31</v>
      </c>
      <c r="E148" s="1">
        <v>45961</v>
      </c>
      <c r="F148" s="1">
        <v>45970</v>
      </c>
      <c r="H148" t="s">
        <v>39</v>
      </c>
      <c r="I148" t="s">
        <v>17</v>
      </c>
      <c r="J148" t="b">
        <v>0</v>
      </c>
      <c r="K148">
        <v>0</v>
      </c>
      <c r="L148">
        <v>5</v>
      </c>
    </row>
    <row r="149" spans="1:12" x14ac:dyDescent="0.25">
      <c r="A149" t="s">
        <v>207</v>
      </c>
      <c r="B149" t="s">
        <v>66</v>
      </c>
      <c r="C149" t="s">
        <v>61</v>
      </c>
      <c r="D149" t="s">
        <v>21</v>
      </c>
      <c r="E149" s="1">
        <v>45735</v>
      </c>
      <c r="F149" s="1">
        <v>45753</v>
      </c>
      <c r="H149" t="s">
        <v>16</v>
      </c>
      <c r="I149" t="s">
        <v>25</v>
      </c>
      <c r="J149" t="b">
        <v>1</v>
      </c>
      <c r="K149">
        <v>7</v>
      </c>
      <c r="L149">
        <v>5</v>
      </c>
    </row>
    <row r="150" spans="1:12" x14ac:dyDescent="0.25">
      <c r="A150" t="s">
        <v>208</v>
      </c>
      <c r="B150" t="s">
        <v>19</v>
      </c>
      <c r="C150" t="s">
        <v>14</v>
      </c>
      <c r="D150" t="s">
        <v>15</v>
      </c>
      <c r="E150" s="1">
        <v>46078</v>
      </c>
      <c r="F150" s="1">
        <v>46092</v>
      </c>
      <c r="H150" t="s">
        <v>39</v>
      </c>
      <c r="I150" t="s">
        <v>17</v>
      </c>
      <c r="J150" t="b">
        <v>0</v>
      </c>
      <c r="K150">
        <v>0</v>
      </c>
      <c r="L150">
        <v>8</v>
      </c>
    </row>
    <row r="151" spans="1:12" x14ac:dyDescent="0.25">
      <c r="A151" t="s">
        <v>209</v>
      </c>
      <c r="B151" t="s">
        <v>60</v>
      </c>
      <c r="C151" t="s">
        <v>54</v>
      </c>
      <c r="D151" t="s">
        <v>21</v>
      </c>
      <c r="E151" s="1">
        <v>45676</v>
      </c>
      <c r="F151" s="1">
        <v>45680</v>
      </c>
      <c r="G151" s="1">
        <v>45680</v>
      </c>
      <c r="H151" t="s">
        <v>32</v>
      </c>
      <c r="I151" t="s">
        <v>25</v>
      </c>
      <c r="J151" t="b">
        <v>0</v>
      </c>
      <c r="K151">
        <v>0</v>
      </c>
      <c r="L151">
        <v>1</v>
      </c>
    </row>
    <row r="152" spans="1:12" x14ac:dyDescent="0.25">
      <c r="A152" t="s">
        <v>210</v>
      </c>
      <c r="B152" t="s">
        <v>78</v>
      </c>
      <c r="C152" t="s">
        <v>91</v>
      </c>
      <c r="D152" t="s">
        <v>46</v>
      </c>
      <c r="E152" s="1">
        <v>45798</v>
      </c>
      <c r="F152" s="1">
        <v>45802</v>
      </c>
      <c r="G152" s="1">
        <v>45800</v>
      </c>
      <c r="H152" t="s">
        <v>32</v>
      </c>
      <c r="I152" t="s">
        <v>17</v>
      </c>
      <c r="J152" t="b">
        <v>0</v>
      </c>
      <c r="K152">
        <v>0</v>
      </c>
      <c r="L152">
        <v>1</v>
      </c>
    </row>
    <row r="153" spans="1:12" x14ac:dyDescent="0.25">
      <c r="A153" t="s">
        <v>211</v>
      </c>
      <c r="B153" t="s">
        <v>98</v>
      </c>
      <c r="C153" t="s">
        <v>61</v>
      </c>
      <c r="D153" t="s">
        <v>21</v>
      </c>
      <c r="E153" s="1">
        <v>45972</v>
      </c>
      <c r="F153" s="1">
        <v>45987</v>
      </c>
      <c r="G153" s="1">
        <v>45987</v>
      </c>
      <c r="H153" t="s">
        <v>32</v>
      </c>
      <c r="I153" t="s">
        <v>28</v>
      </c>
      <c r="J153" t="b">
        <v>0</v>
      </c>
      <c r="K153">
        <v>0</v>
      </c>
      <c r="L153">
        <v>2</v>
      </c>
    </row>
    <row r="154" spans="1:12" x14ac:dyDescent="0.25">
      <c r="A154" t="s">
        <v>212</v>
      </c>
      <c r="B154" t="s">
        <v>66</v>
      </c>
      <c r="C154" t="s">
        <v>107</v>
      </c>
      <c r="D154" t="s">
        <v>31</v>
      </c>
      <c r="E154" s="1">
        <v>45658</v>
      </c>
      <c r="F154" s="1">
        <v>45668</v>
      </c>
      <c r="G154" s="1">
        <v>45667</v>
      </c>
      <c r="H154" t="s">
        <v>32</v>
      </c>
      <c r="I154" t="s">
        <v>28</v>
      </c>
      <c r="J154" t="b">
        <v>0</v>
      </c>
      <c r="K154">
        <v>0</v>
      </c>
      <c r="L154">
        <v>4</v>
      </c>
    </row>
    <row r="155" spans="1:12" x14ac:dyDescent="0.25">
      <c r="A155" t="s">
        <v>213</v>
      </c>
      <c r="B155" t="s">
        <v>60</v>
      </c>
      <c r="C155" t="s">
        <v>27</v>
      </c>
      <c r="D155" t="s">
        <v>15</v>
      </c>
      <c r="E155" s="1">
        <v>45878</v>
      </c>
      <c r="F155" s="1">
        <v>45881</v>
      </c>
      <c r="G155" s="1">
        <v>45882</v>
      </c>
      <c r="H155" t="s">
        <v>32</v>
      </c>
      <c r="I155" t="s">
        <v>58</v>
      </c>
      <c r="J155" t="b">
        <v>1</v>
      </c>
      <c r="K155">
        <v>1</v>
      </c>
      <c r="L155">
        <v>9</v>
      </c>
    </row>
    <row r="156" spans="1:12" x14ac:dyDescent="0.25">
      <c r="A156" t="s">
        <v>214</v>
      </c>
      <c r="B156" t="s">
        <v>19</v>
      </c>
      <c r="C156" t="s">
        <v>27</v>
      </c>
      <c r="D156" t="s">
        <v>15</v>
      </c>
      <c r="E156" s="1">
        <v>45775</v>
      </c>
      <c r="F156" s="1">
        <v>45784</v>
      </c>
      <c r="H156" t="s">
        <v>16</v>
      </c>
      <c r="I156" t="s">
        <v>17</v>
      </c>
      <c r="J156" t="b">
        <v>1</v>
      </c>
      <c r="K156">
        <v>7</v>
      </c>
      <c r="L156">
        <v>5</v>
      </c>
    </row>
    <row r="157" spans="1:12" x14ac:dyDescent="0.25">
      <c r="A157" t="s">
        <v>215</v>
      </c>
      <c r="B157" t="s">
        <v>75</v>
      </c>
      <c r="C157" t="s">
        <v>91</v>
      </c>
      <c r="D157" t="s">
        <v>46</v>
      </c>
      <c r="E157" s="1">
        <v>45760</v>
      </c>
      <c r="F157" s="1">
        <v>45783</v>
      </c>
      <c r="H157" t="s">
        <v>24</v>
      </c>
      <c r="I157" t="s">
        <v>17</v>
      </c>
      <c r="J157" t="b">
        <v>0</v>
      </c>
      <c r="K157">
        <v>0</v>
      </c>
      <c r="L157">
        <v>3</v>
      </c>
    </row>
    <row r="158" spans="1:12" x14ac:dyDescent="0.25">
      <c r="A158" t="s">
        <v>216</v>
      </c>
      <c r="B158" t="s">
        <v>34</v>
      </c>
      <c r="C158" t="s">
        <v>30</v>
      </c>
      <c r="D158" t="s">
        <v>31</v>
      </c>
      <c r="E158" s="1">
        <v>46046</v>
      </c>
      <c r="F158" s="1">
        <v>46068</v>
      </c>
      <c r="G158" s="1">
        <v>46067</v>
      </c>
      <c r="H158" t="s">
        <v>32</v>
      </c>
      <c r="I158" t="s">
        <v>25</v>
      </c>
      <c r="J158" t="b">
        <v>0</v>
      </c>
      <c r="K158">
        <v>0</v>
      </c>
      <c r="L158">
        <v>5</v>
      </c>
    </row>
    <row r="159" spans="1:12" x14ac:dyDescent="0.25">
      <c r="A159" t="s">
        <v>217</v>
      </c>
      <c r="B159" t="s">
        <v>70</v>
      </c>
      <c r="C159" t="s">
        <v>54</v>
      </c>
      <c r="D159" t="s">
        <v>21</v>
      </c>
      <c r="E159" s="1">
        <v>45698</v>
      </c>
      <c r="F159" s="1">
        <v>45701</v>
      </c>
      <c r="G159" s="1">
        <v>45708</v>
      </c>
      <c r="H159" t="s">
        <v>32</v>
      </c>
      <c r="I159" t="s">
        <v>58</v>
      </c>
      <c r="J159" t="b">
        <v>1</v>
      </c>
      <c r="K159">
        <v>7</v>
      </c>
      <c r="L159">
        <v>1</v>
      </c>
    </row>
    <row r="160" spans="1:12" x14ac:dyDescent="0.25">
      <c r="A160" t="s">
        <v>218</v>
      </c>
      <c r="B160" t="s">
        <v>68</v>
      </c>
      <c r="C160" t="s">
        <v>54</v>
      </c>
      <c r="D160" t="s">
        <v>21</v>
      </c>
      <c r="E160" s="1">
        <v>45871</v>
      </c>
      <c r="F160" s="1">
        <v>45880</v>
      </c>
      <c r="G160" s="1">
        <v>45878</v>
      </c>
      <c r="H160" t="s">
        <v>32</v>
      </c>
      <c r="I160" t="s">
        <v>58</v>
      </c>
      <c r="J160" t="b">
        <v>0</v>
      </c>
      <c r="K160">
        <v>0</v>
      </c>
      <c r="L160">
        <v>8</v>
      </c>
    </row>
    <row r="161" spans="1:12" x14ac:dyDescent="0.25">
      <c r="A161" t="s">
        <v>219</v>
      </c>
      <c r="B161" t="s">
        <v>50</v>
      </c>
      <c r="C161" t="s">
        <v>91</v>
      </c>
      <c r="D161" t="s">
        <v>46</v>
      </c>
      <c r="E161" s="1">
        <v>45784</v>
      </c>
      <c r="F161" s="1">
        <v>45810</v>
      </c>
      <c r="H161" t="s">
        <v>16</v>
      </c>
      <c r="I161" t="s">
        <v>17</v>
      </c>
      <c r="J161" t="b">
        <v>1</v>
      </c>
      <c r="K161">
        <v>11</v>
      </c>
      <c r="L161">
        <v>5</v>
      </c>
    </row>
    <row r="162" spans="1:12" x14ac:dyDescent="0.25">
      <c r="A162" t="s">
        <v>220</v>
      </c>
      <c r="B162" t="s">
        <v>98</v>
      </c>
      <c r="C162" t="s">
        <v>52</v>
      </c>
      <c r="D162" t="s">
        <v>31</v>
      </c>
      <c r="E162" s="1">
        <v>45789</v>
      </c>
      <c r="F162" s="1">
        <v>45798</v>
      </c>
      <c r="H162" t="s">
        <v>16</v>
      </c>
      <c r="I162" t="s">
        <v>28</v>
      </c>
      <c r="J162" t="b">
        <v>1</v>
      </c>
      <c r="K162">
        <v>5</v>
      </c>
      <c r="L162">
        <v>10</v>
      </c>
    </row>
    <row r="163" spans="1:12" x14ac:dyDescent="0.25">
      <c r="A163" t="s">
        <v>221</v>
      </c>
      <c r="B163" t="s">
        <v>90</v>
      </c>
      <c r="C163" t="s">
        <v>112</v>
      </c>
      <c r="D163" t="s">
        <v>46</v>
      </c>
      <c r="E163" s="1">
        <v>45693</v>
      </c>
      <c r="F163" s="1">
        <v>45705</v>
      </c>
      <c r="H163" t="s">
        <v>24</v>
      </c>
      <c r="I163" t="s">
        <v>17</v>
      </c>
      <c r="J163" t="b">
        <v>0</v>
      </c>
      <c r="K163">
        <v>0</v>
      </c>
      <c r="L163">
        <v>10</v>
      </c>
    </row>
    <row r="164" spans="1:12" x14ac:dyDescent="0.25">
      <c r="A164" t="s">
        <v>222</v>
      </c>
      <c r="B164" t="s">
        <v>41</v>
      </c>
      <c r="C164" t="s">
        <v>38</v>
      </c>
      <c r="D164" t="s">
        <v>15</v>
      </c>
      <c r="E164" s="1">
        <v>45928</v>
      </c>
      <c r="F164" s="1">
        <v>45939</v>
      </c>
      <c r="H164" t="s">
        <v>16</v>
      </c>
      <c r="I164" t="s">
        <v>28</v>
      </c>
      <c r="J164" t="b">
        <v>1</v>
      </c>
      <c r="K164">
        <v>5</v>
      </c>
      <c r="L164">
        <v>9</v>
      </c>
    </row>
    <row r="165" spans="1:12" x14ac:dyDescent="0.25">
      <c r="A165" t="s">
        <v>223</v>
      </c>
      <c r="B165" t="s">
        <v>98</v>
      </c>
      <c r="C165" t="s">
        <v>20</v>
      </c>
      <c r="D165" t="s">
        <v>21</v>
      </c>
      <c r="E165" s="1">
        <v>45671</v>
      </c>
      <c r="F165" s="1">
        <v>45693</v>
      </c>
      <c r="G165" s="1">
        <v>45694</v>
      </c>
      <c r="H165" t="s">
        <v>32</v>
      </c>
      <c r="I165" t="s">
        <v>28</v>
      </c>
      <c r="J165" t="b">
        <v>1</v>
      </c>
      <c r="K165">
        <v>1</v>
      </c>
      <c r="L165">
        <v>5</v>
      </c>
    </row>
    <row r="166" spans="1:12" x14ac:dyDescent="0.25">
      <c r="A166" t="s">
        <v>224</v>
      </c>
      <c r="B166" t="s">
        <v>44</v>
      </c>
      <c r="C166" t="s">
        <v>42</v>
      </c>
      <c r="D166" t="s">
        <v>36</v>
      </c>
      <c r="E166" s="1">
        <v>45976</v>
      </c>
      <c r="F166" s="1">
        <v>45987</v>
      </c>
      <c r="H166" t="s">
        <v>24</v>
      </c>
      <c r="I166" t="s">
        <v>28</v>
      </c>
      <c r="J166" t="b">
        <v>0</v>
      </c>
      <c r="K166">
        <v>0</v>
      </c>
      <c r="L166">
        <v>1</v>
      </c>
    </row>
    <row r="167" spans="1:12" x14ac:dyDescent="0.25">
      <c r="A167" t="s">
        <v>225</v>
      </c>
      <c r="B167" t="s">
        <v>85</v>
      </c>
      <c r="C167" t="s">
        <v>38</v>
      </c>
      <c r="D167" t="s">
        <v>15</v>
      </c>
      <c r="E167" s="1">
        <v>45764</v>
      </c>
      <c r="F167" s="1">
        <v>45770</v>
      </c>
      <c r="H167" t="s">
        <v>16</v>
      </c>
      <c r="I167" t="s">
        <v>28</v>
      </c>
      <c r="J167" t="b">
        <v>1</v>
      </c>
      <c r="K167">
        <v>15</v>
      </c>
      <c r="L167">
        <v>2</v>
      </c>
    </row>
    <row r="168" spans="1:12" x14ac:dyDescent="0.25">
      <c r="A168" t="s">
        <v>226</v>
      </c>
      <c r="B168" t="s">
        <v>19</v>
      </c>
      <c r="C168" t="s">
        <v>54</v>
      </c>
      <c r="D168" t="s">
        <v>21</v>
      </c>
      <c r="E168" s="1">
        <v>45712</v>
      </c>
      <c r="F168" s="1">
        <v>45741</v>
      </c>
      <c r="G168" s="1">
        <v>45741</v>
      </c>
      <c r="H168" t="s">
        <v>32</v>
      </c>
      <c r="I168" t="s">
        <v>17</v>
      </c>
      <c r="J168" t="b">
        <v>0</v>
      </c>
      <c r="K168">
        <v>0</v>
      </c>
      <c r="L168">
        <v>8</v>
      </c>
    </row>
    <row r="169" spans="1:12" x14ac:dyDescent="0.25">
      <c r="A169" t="s">
        <v>227</v>
      </c>
      <c r="B169" t="s">
        <v>85</v>
      </c>
      <c r="C169" t="s">
        <v>76</v>
      </c>
      <c r="D169" t="s">
        <v>36</v>
      </c>
      <c r="E169" s="1">
        <v>45832</v>
      </c>
      <c r="F169" s="1">
        <v>45838</v>
      </c>
      <c r="H169" t="s">
        <v>39</v>
      </c>
      <c r="I169" t="s">
        <v>58</v>
      </c>
      <c r="J169" t="b">
        <v>0</v>
      </c>
      <c r="K169">
        <v>0</v>
      </c>
      <c r="L169">
        <v>6</v>
      </c>
    </row>
    <row r="170" spans="1:12" x14ac:dyDescent="0.25">
      <c r="A170" t="s">
        <v>228</v>
      </c>
      <c r="B170" t="s">
        <v>66</v>
      </c>
      <c r="C170" t="s">
        <v>91</v>
      </c>
      <c r="D170" t="s">
        <v>46</v>
      </c>
      <c r="E170" s="1">
        <v>45937</v>
      </c>
      <c r="F170" s="1">
        <v>45944</v>
      </c>
      <c r="G170" s="1">
        <v>45944</v>
      </c>
      <c r="H170" t="s">
        <v>32</v>
      </c>
      <c r="I170" t="s">
        <v>25</v>
      </c>
      <c r="J170" t="b">
        <v>0</v>
      </c>
      <c r="K170">
        <v>0</v>
      </c>
      <c r="L170">
        <v>9</v>
      </c>
    </row>
    <row r="171" spans="1:12" x14ac:dyDescent="0.25">
      <c r="A171" t="s">
        <v>229</v>
      </c>
      <c r="B171" t="s">
        <v>75</v>
      </c>
      <c r="C171" t="s">
        <v>35</v>
      </c>
      <c r="D171" t="s">
        <v>36</v>
      </c>
      <c r="E171" s="1">
        <v>45956</v>
      </c>
      <c r="F171" s="1">
        <v>45985</v>
      </c>
      <c r="G171" s="1">
        <v>45991</v>
      </c>
      <c r="H171" t="s">
        <v>32</v>
      </c>
      <c r="I171" t="s">
        <v>17</v>
      </c>
      <c r="J171" t="b">
        <v>1</v>
      </c>
      <c r="K171">
        <v>6</v>
      </c>
      <c r="L171">
        <v>1</v>
      </c>
    </row>
    <row r="172" spans="1:12" x14ac:dyDescent="0.25">
      <c r="A172" t="s">
        <v>230</v>
      </c>
      <c r="B172" t="s">
        <v>44</v>
      </c>
      <c r="C172" t="s">
        <v>54</v>
      </c>
      <c r="D172" t="s">
        <v>21</v>
      </c>
      <c r="E172" s="1">
        <v>46051</v>
      </c>
      <c r="F172" s="1">
        <v>46076</v>
      </c>
      <c r="G172" s="1">
        <v>46076</v>
      </c>
      <c r="H172" t="s">
        <v>32</v>
      </c>
      <c r="I172" t="s">
        <v>17</v>
      </c>
      <c r="J172" t="b">
        <v>0</v>
      </c>
      <c r="K172">
        <v>0</v>
      </c>
      <c r="L172">
        <v>1</v>
      </c>
    </row>
    <row r="173" spans="1:12" x14ac:dyDescent="0.25">
      <c r="A173" t="s">
        <v>231</v>
      </c>
      <c r="B173" t="s">
        <v>78</v>
      </c>
      <c r="C173" t="s">
        <v>52</v>
      </c>
      <c r="D173" t="s">
        <v>31</v>
      </c>
      <c r="E173" s="1">
        <v>45962</v>
      </c>
      <c r="F173" s="1">
        <v>45979</v>
      </c>
      <c r="G173" s="1">
        <v>45984</v>
      </c>
      <c r="H173" t="s">
        <v>32</v>
      </c>
      <c r="I173" t="s">
        <v>17</v>
      </c>
      <c r="J173" t="b">
        <v>1</v>
      </c>
      <c r="K173">
        <v>5</v>
      </c>
      <c r="L173">
        <v>7</v>
      </c>
    </row>
    <row r="174" spans="1:12" x14ac:dyDescent="0.25">
      <c r="A174" t="s">
        <v>232</v>
      </c>
      <c r="B174" t="s">
        <v>41</v>
      </c>
      <c r="C174" t="s">
        <v>38</v>
      </c>
      <c r="D174" t="s">
        <v>15</v>
      </c>
      <c r="E174" s="1">
        <v>45846</v>
      </c>
      <c r="F174" s="1">
        <v>45873</v>
      </c>
      <c r="H174" t="s">
        <v>39</v>
      </c>
      <c r="I174" t="s">
        <v>17</v>
      </c>
      <c r="J174" t="b">
        <v>0</v>
      </c>
      <c r="K174">
        <v>0</v>
      </c>
      <c r="L174">
        <v>6</v>
      </c>
    </row>
    <row r="175" spans="1:12" x14ac:dyDescent="0.25">
      <c r="A175" t="s">
        <v>233</v>
      </c>
      <c r="B175" t="s">
        <v>19</v>
      </c>
      <c r="C175" t="s">
        <v>20</v>
      </c>
      <c r="D175" t="s">
        <v>21</v>
      </c>
      <c r="E175" s="1">
        <v>45850</v>
      </c>
      <c r="F175" s="1">
        <v>45864</v>
      </c>
      <c r="H175" t="s">
        <v>16</v>
      </c>
      <c r="I175" t="s">
        <v>58</v>
      </c>
      <c r="J175" t="b">
        <v>1</v>
      </c>
      <c r="K175">
        <v>18</v>
      </c>
      <c r="L175">
        <v>4</v>
      </c>
    </row>
    <row r="176" spans="1:12" x14ac:dyDescent="0.25">
      <c r="A176" t="s">
        <v>234</v>
      </c>
      <c r="B176" t="s">
        <v>63</v>
      </c>
      <c r="C176" t="s">
        <v>14</v>
      </c>
      <c r="D176" t="s">
        <v>15</v>
      </c>
      <c r="E176" s="1">
        <v>45868</v>
      </c>
      <c r="F176" s="1">
        <v>45875</v>
      </c>
      <c r="G176" s="1">
        <v>45876</v>
      </c>
      <c r="H176" t="s">
        <v>32</v>
      </c>
      <c r="I176" t="s">
        <v>25</v>
      </c>
      <c r="J176" t="b">
        <v>1</v>
      </c>
      <c r="K176">
        <v>1</v>
      </c>
      <c r="L176">
        <v>2</v>
      </c>
    </row>
    <row r="177" spans="1:12" x14ac:dyDescent="0.25">
      <c r="A177" t="s">
        <v>235</v>
      </c>
      <c r="B177" t="s">
        <v>98</v>
      </c>
      <c r="C177" t="s">
        <v>107</v>
      </c>
      <c r="D177" t="s">
        <v>31</v>
      </c>
      <c r="E177" s="1">
        <v>46100</v>
      </c>
      <c r="F177" s="1">
        <v>46127</v>
      </c>
      <c r="G177" s="1">
        <v>46127</v>
      </c>
      <c r="H177" t="s">
        <v>32</v>
      </c>
      <c r="I177" t="s">
        <v>28</v>
      </c>
      <c r="J177" t="b">
        <v>0</v>
      </c>
      <c r="K177">
        <v>0</v>
      </c>
      <c r="L177">
        <v>10</v>
      </c>
    </row>
    <row r="178" spans="1:12" x14ac:dyDescent="0.25">
      <c r="A178" t="s">
        <v>236</v>
      </c>
      <c r="B178" t="s">
        <v>98</v>
      </c>
      <c r="C178" t="s">
        <v>45</v>
      </c>
      <c r="D178" t="s">
        <v>46</v>
      </c>
      <c r="E178" s="1">
        <v>45948</v>
      </c>
      <c r="F178" s="1">
        <v>45961</v>
      </c>
      <c r="H178" t="s">
        <v>16</v>
      </c>
      <c r="I178" t="s">
        <v>17</v>
      </c>
      <c r="J178" t="b">
        <v>1</v>
      </c>
      <c r="K178">
        <v>8</v>
      </c>
      <c r="L178">
        <v>7</v>
      </c>
    </row>
    <row r="179" spans="1:12" x14ac:dyDescent="0.25">
      <c r="A179" t="s">
        <v>237</v>
      </c>
      <c r="B179" t="s">
        <v>78</v>
      </c>
      <c r="C179" t="s">
        <v>20</v>
      </c>
      <c r="D179" t="s">
        <v>21</v>
      </c>
      <c r="E179" s="1">
        <v>46085</v>
      </c>
      <c r="F179" s="1">
        <v>46103</v>
      </c>
      <c r="H179" t="s">
        <v>16</v>
      </c>
      <c r="I179" t="s">
        <v>17</v>
      </c>
      <c r="J179" t="b">
        <v>1</v>
      </c>
      <c r="K179">
        <v>9</v>
      </c>
      <c r="L179">
        <v>6</v>
      </c>
    </row>
    <row r="180" spans="1:12" x14ac:dyDescent="0.25">
      <c r="A180" t="s">
        <v>238</v>
      </c>
      <c r="B180" t="s">
        <v>78</v>
      </c>
      <c r="C180" t="s">
        <v>14</v>
      </c>
      <c r="D180" t="s">
        <v>15</v>
      </c>
      <c r="E180" s="1">
        <v>45884</v>
      </c>
      <c r="F180" s="1">
        <v>45889</v>
      </c>
      <c r="H180" t="s">
        <v>16</v>
      </c>
      <c r="I180" t="s">
        <v>25</v>
      </c>
      <c r="J180" t="b">
        <v>1</v>
      </c>
      <c r="K180">
        <v>1</v>
      </c>
      <c r="L180">
        <v>9</v>
      </c>
    </row>
    <row r="181" spans="1:12" x14ac:dyDescent="0.25">
      <c r="A181" t="s">
        <v>239</v>
      </c>
      <c r="B181" t="s">
        <v>90</v>
      </c>
      <c r="C181" t="s">
        <v>45</v>
      </c>
      <c r="D181" t="s">
        <v>46</v>
      </c>
      <c r="E181" s="1">
        <v>46102</v>
      </c>
      <c r="F181" s="1">
        <v>46115</v>
      </c>
      <c r="G181" s="1">
        <v>46121</v>
      </c>
      <c r="H181" t="s">
        <v>32</v>
      </c>
      <c r="I181" t="s">
        <v>17</v>
      </c>
      <c r="J181" t="b">
        <v>1</v>
      </c>
      <c r="K181">
        <v>6</v>
      </c>
      <c r="L181">
        <v>3</v>
      </c>
    </row>
    <row r="182" spans="1:12" x14ac:dyDescent="0.25">
      <c r="A182" t="s">
        <v>240</v>
      </c>
      <c r="B182" t="s">
        <v>75</v>
      </c>
      <c r="C182" t="s">
        <v>35</v>
      </c>
      <c r="D182" t="s">
        <v>36</v>
      </c>
      <c r="E182" s="1">
        <v>45814</v>
      </c>
      <c r="F182" s="1">
        <v>45833</v>
      </c>
      <c r="G182" s="1">
        <v>45836</v>
      </c>
      <c r="H182" t="s">
        <v>32</v>
      </c>
      <c r="I182" t="s">
        <v>25</v>
      </c>
      <c r="J182" t="b">
        <v>1</v>
      </c>
      <c r="K182">
        <v>3</v>
      </c>
      <c r="L182">
        <v>7</v>
      </c>
    </row>
    <row r="183" spans="1:12" x14ac:dyDescent="0.25">
      <c r="A183" t="s">
        <v>241</v>
      </c>
      <c r="B183" t="s">
        <v>70</v>
      </c>
      <c r="C183" t="s">
        <v>91</v>
      </c>
      <c r="D183" t="s">
        <v>46</v>
      </c>
      <c r="E183" s="1">
        <v>45884</v>
      </c>
      <c r="F183" s="1">
        <v>45899</v>
      </c>
      <c r="H183" t="s">
        <v>24</v>
      </c>
      <c r="I183" t="s">
        <v>17</v>
      </c>
      <c r="J183" t="b">
        <v>0</v>
      </c>
      <c r="K183">
        <v>0</v>
      </c>
      <c r="L183">
        <v>6</v>
      </c>
    </row>
    <row r="184" spans="1:12" x14ac:dyDescent="0.25">
      <c r="A184" t="s">
        <v>242</v>
      </c>
      <c r="B184" t="s">
        <v>78</v>
      </c>
      <c r="C184" t="s">
        <v>14</v>
      </c>
      <c r="D184" t="s">
        <v>15</v>
      </c>
      <c r="E184" s="1">
        <v>45716</v>
      </c>
      <c r="F184" s="1">
        <v>45727</v>
      </c>
      <c r="G184" s="1">
        <v>45726</v>
      </c>
      <c r="H184" t="s">
        <v>32</v>
      </c>
      <c r="I184" t="s">
        <v>28</v>
      </c>
      <c r="J184" t="b">
        <v>0</v>
      </c>
      <c r="K184">
        <v>0</v>
      </c>
      <c r="L184">
        <v>2</v>
      </c>
    </row>
    <row r="185" spans="1:12" x14ac:dyDescent="0.25">
      <c r="A185" t="s">
        <v>243</v>
      </c>
      <c r="B185" t="s">
        <v>87</v>
      </c>
      <c r="C185" t="s">
        <v>30</v>
      </c>
      <c r="D185" t="s">
        <v>31</v>
      </c>
      <c r="E185" s="1">
        <v>45767</v>
      </c>
      <c r="F185" s="1">
        <v>45775</v>
      </c>
      <c r="H185" t="s">
        <v>39</v>
      </c>
      <c r="I185" t="s">
        <v>28</v>
      </c>
      <c r="J185" t="b">
        <v>0</v>
      </c>
      <c r="K185">
        <v>0</v>
      </c>
      <c r="L185">
        <v>7</v>
      </c>
    </row>
    <row r="186" spans="1:12" x14ac:dyDescent="0.25">
      <c r="A186" t="s">
        <v>244</v>
      </c>
      <c r="B186" t="s">
        <v>60</v>
      </c>
      <c r="C186" t="s">
        <v>14</v>
      </c>
      <c r="D186" t="s">
        <v>15</v>
      </c>
      <c r="E186" s="1">
        <v>45873</v>
      </c>
      <c r="F186" s="1">
        <v>45881</v>
      </c>
      <c r="H186" t="s">
        <v>16</v>
      </c>
      <c r="I186" t="s">
        <v>17</v>
      </c>
      <c r="J186" t="b">
        <v>1</v>
      </c>
      <c r="K186">
        <v>19</v>
      </c>
      <c r="L186">
        <v>4</v>
      </c>
    </row>
    <row r="187" spans="1:12" x14ac:dyDescent="0.25">
      <c r="A187" t="s">
        <v>245</v>
      </c>
      <c r="B187" t="s">
        <v>60</v>
      </c>
      <c r="C187" t="s">
        <v>54</v>
      </c>
      <c r="D187" t="s">
        <v>21</v>
      </c>
      <c r="E187" s="1">
        <v>45715</v>
      </c>
      <c r="F187" s="1">
        <v>45719</v>
      </c>
      <c r="G187" s="1">
        <v>45717</v>
      </c>
      <c r="H187" t="s">
        <v>32</v>
      </c>
      <c r="I187" t="s">
        <v>17</v>
      </c>
      <c r="J187" t="b">
        <v>0</v>
      </c>
      <c r="K187">
        <v>0</v>
      </c>
      <c r="L187">
        <v>5</v>
      </c>
    </row>
    <row r="188" spans="1:12" x14ac:dyDescent="0.25">
      <c r="A188" t="s">
        <v>246</v>
      </c>
      <c r="B188" t="s">
        <v>34</v>
      </c>
      <c r="C188" t="s">
        <v>20</v>
      </c>
      <c r="D188" t="s">
        <v>21</v>
      </c>
      <c r="E188" s="1">
        <v>46055</v>
      </c>
      <c r="F188" s="1">
        <v>46060</v>
      </c>
      <c r="H188" t="s">
        <v>24</v>
      </c>
      <c r="I188" t="s">
        <v>25</v>
      </c>
      <c r="J188" t="b">
        <v>0</v>
      </c>
      <c r="K188">
        <v>0</v>
      </c>
      <c r="L188">
        <v>7</v>
      </c>
    </row>
    <row r="189" spans="1:12" x14ac:dyDescent="0.25">
      <c r="A189" t="s">
        <v>247</v>
      </c>
      <c r="B189" t="s">
        <v>75</v>
      </c>
      <c r="C189" t="s">
        <v>45</v>
      </c>
      <c r="D189" t="s">
        <v>46</v>
      </c>
      <c r="E189" s="1">
        <v>46052</v>
      </c>
      <c r="F189" s="1">
        <v>46075</v>
      </c>
      <c r="H189" t="s">
        <v>16</v>
      </c>
      <c r="I189" t="s">
        <v>28</v>
      </c>
      <c r="J189" t="b">
        <v>1</v>
      </c>
      <c r="K189">
        <v>18</v>
      </c>
      <c r="L189">
        <v>3</v>
      </c>
    </row>
    <row r="190" spans="1:12" x14ac:dyDescent="0.25">
      <c r="A190" t="s">
        <v>248</v>
      </c>
      <c r="B190" t="s">
        <v>85</v>
      </c>
      <c r="C190" t="s">
        <v>14</v>
      </c>
      <c r="D190" t="s">
        <v>15</v>
      </c>
      <c r="E190" s="1">
        <v>45690</v>
      </c>
      <c r="F190" s="1">
        <v>45704</v>
      </c>
      <c r="H190" t="s">
        <v>39</v>
      </c>
      <c r="I190" t="s">
        <v>25</v>
      </c>
      <c r="J190" t="b">
        <v>0</v>
      </c>
      <c r="K190">
        <v>0</v>
      </c>
      <c r="L190">
        <v>10</v>
      </c>
    </row>
    <row r="191" spans="1:12" x14ac:dyDescent="0.25">
      <c r="A191" t="s">
        <v>249</v>
      </c>
      <c r="B191" t="s">
        <v>13</v>
      </c>
      <c r="C191" t="s">
        <v>54</v>
      </c>
      <c r="D191" t="s">
        <v>21</v>
      </c>
      <c r="E191" s="1">
        <v>46025</v>
      </c>
      <c r="F191" s="1">
        <v>46050</v>
      </c>
      <c r="H191" t="s">
        <v>24</v>
      </c>
      <c r="I191" t="s">
        <v>28</v>
      </c>
      <c r="J191" t="b">
        <v>0</v>
      </c>
      <c r="K191">
        <v>0</v>
      </c>
      <c r="L191">
        <v>5</v>
      </c>
    </row>
    <row r="192" spans="1:12" x14ac:dyDescent="0.25">
      <c r="A192" t="s">
        <v>250</v>
      </c>
      <c r="B192" t="s">
        <v>13</v>
      </c>
      <c r="C192" t="s">
        <v>38</v>
      </c>
      <c r="D192" t="s">
        <v>15</v>
      </c>
      <c r="E192" s="1">
        <v>45771</v>
      </c>
      <c r="F192" s="1">
        <v>45786</v>
      </c>
      <c r="G192" s="1">
        <v>45785</v>
      </c>
      <c r="H192" t="s">
        <v>32</v>
      </c>
      <c r="I192" t="s">
        <v>17</v>
      </c>
      <c r="J192" t="b">
        <v>0</v>
      </c>
      <c r="K192">
        <v>0</v>
      </c>
      <c r="L192">
        <v>7</v>
      </c>
    </row>
    <row r="193" spans="1:12" x14ac:dyDescent="0.25">
      <c r="A193" t="s">
        <v>251</v>
      </c>
      <c r="B193" t="s">
        <v>87</v>
      </c>
      <c r="C193" t="s">
        <v>14</v>
      </c>
      <c r="D193" t="s">
        <v>15</v>
      </c>
      <c r="E193" s="1">
        <v>45791</v>
      </c>
      <c r="F193" s="1">
        <v>45816</v>
      </c>
      <c r="H193" t="s">
        <v>16</v>
      </c>
      <c r="I193" t="s">
        <v>17</v>
      </c>
      <c r="J193" t="b">
        <v>1</v>
      </c>
      <c r="K193">
        <v>8</v>
      </c>
      <c r="L193">
        <v>9</v>
      </c>
    </row>
    <row r="194" spans="1:12" x14ac:dyDescent="0.25">
      <c r="A194" t="s">
        <v>252</v>
      </c>
      <c r="B194" t="s">
        <v>50</v>
      </c>
      <c r="C194" t="s">
        <v>61</v>
      </c>
      <c r="D194" t="s">
        <v>21</v>
      </c>
      <c r="E194" s="1">
        <v>45751</v>
      </c>
      <c r="F194" s="1">
        <v>45770</v>
      </c>
      <c r="H194" t="s">
        <v>16</v>
      </c>
      <c r="I194" t="s">
        <v>17</v>
      </c>
      <c r="J194" t="b">
        <v>1</v>
      </c>
      <c r="K194">
        <v>18</v>
      </c>
      <c r="L194">
        <v>5</v>
      </c>
    </row>
    <row r="195" spans="1:12" x14ac:dyDescent="0.25">
      <c r="A195" t="s">
        <v>253</v>
      </c>
      <c r="B195" t="s">
        <v>48</v>
      </c>
      <c r="C195" t="s">
        <v>27</v>
      </c>
      <c r="D195" t="s">
        <v>15</v>
      </c>
      <c r="E195" s="1">
        <v>45777</v>
      </c>
      <c r="F195" s="1">
        <v>45784</v>
      </c>
      <c r="G195" s="1">
        <v>45790</v>
      </c>
      <c r="H195" t="s">
        <v>32</v>
      </c>
      <c r="I195" t="s">
        <v>25</v>
      </c>
      <c r="J195" t="b">
        <v>1</v>
      </c>
      <c r="K195">
        <v>6</v>
      </c>
      <c r="L195">
        <v>2</v>
      </c>
    </row>
    <row r="196" spans="1:12" x14ac:dyDescent="0.25">
      <c r="A196" t="s">
        <v>254</v>
      </c>
      <c r="B196" t="s">
        <v>66</v>
      </c>
      <c r="C196" t="s">
        <v>52</v>
      </c>
      <c r="D196" t="s">
        <v>31</v>
      </c>
      <c r="E196" s="1">
        <v>45768</v>
      </c>
      <c r="F196" s="1">
        <v>45794</v>
      </c>
      <c r="G196" s="1">
        <v>45799</v>
      </c>
      <c r="H196" t="s">
        <v>32</v>
      </c>
      <c r="I196" t="s">
        <v>17</v>
      </c>
      <c r="J196" t="b">
        <v>1</v>
      </c>
      <c r="K196">
        <v>5</v>
      </c>
      <c r="L196">
        <v>2</v>
      </c>
    </row>
    <row r="197" spans="1:12" x14ac:dyDescent="0.25">
      <c r="A197" t="s">
        <v>255</v>
      </c>
      <c r="B197" t="s">
        <v>19</v>
      </c>
      <c r="C197" t="s">
        <v>54</v>
      </c>
      <c r="D197" t="s">
        <v>21</v>
      </c>
      <c r="E197" s="1">
        <v>45896</v>
      </c>
      <c r="F197" s="1">
        <v>45918</v>
      </c>
      <c r="G197" s="1">
        <v>45918</v>
      </c>
      <c r="H197" t="s">
        <v>32</v>
      </c>
      <c r="I197" t="s">
        <v>25</v>
      </c>
      <c r="J197" t="b">
        <v>0</v>
      </c>
      <c r="K197">
        <v>0</v>
      </c>
      <c r="L197">
        <v>9</v>
      </c>
    </row>
    <row r="198" spans="1:12" x14ac:dyDescent="0.25">
      <c r="A198" t="s">
        <v>256</v>
      </c>
      <c r="B198" t="s">
        <v>13</v>
      </c>
      <c r="C198" t="s">
        <v>30</v>
      </c>
      <c r="D198" t="s">
        <v>31</v>
      </c>
      <c r="E198" s="1">
        <v>46057</v>
      </c>
      <c r="F198" s="1">
        <v>46060</v>
      </c>
      <c r="H198" t="s">
        <v>39</v>
      </c>
      <c r="I198" t="s">
        <v>28</v>
      </c>
      <c r="J198" t="b">
        <v>0</v>
      </c>
      <c r="K198">
        <v>0</v>
      </c>
      <c r="L198">
        <v>3</v>
      </c>
    </row>
    <row r="199" spans="1:12" x14ac:dyDescent="0.25">
      <c r="A199" t="s">
        <v>257</v>
      </c>
      <c r="B199" t="s">
        <v>19</v>
      </c>
      <c r="C199" t="s">
        <v>38</v>
      </c>
      <c r="D199" t="s">
        <v>15</v>
      </c>
      <c r="E199" s="1">
        <v>45834</v>
      </c>
      <c r="F199" s="1">
        <v>45851</v>
      </c>
      <c r="G199" s="1">
        <v>45857</v>
      </c>
      <c r="H199" t="s">
        <v>32</v>
      </c>
      <c r="I199" t="s">
        <v>17</v>
      </c>
      <c r="J199" t="b">
        <v>1</v>
      </c>
      <c r="K199">
        <v>6</v>
      </c>
      <c r="L199">
        <v>5</v>
      </c>
    </row>
    <row r="200" spans="1:12" x14ac:dyDescent="0.25">
      <c r="A200" t="s">
        <v>258</v>
      </c>
      <c r="B200" t="s">
        <v>90</v>
      </c>
      <c r="C200" t="s">
        <v>27</v>
      </c>
      <c r="D200" t="s">
        <v>15</v>
      </c>
      <c r="E200" s="1">
        <v>45698</v>
      </c>
      <c r="F200" s="1">
        <v>45714</v>
      </c>
      <c r="G200" s="1">
        <v>45720</v>
      </c>
      <c r="H200" t="s">
        <v>32</v>
      </c>
      <c r="I200" t="s">
        <v>28</v>
      </c>
      <c r="J200" t="b">
        <v>1</v>
      </c>
      <c r="K200">
        <v>6</v>
      </c>
      <c r="L200">
        <v>2</v>
      </c>
    </row>
    <row r="201" spans="1:12" x14ac:dyDescent="0.25">
      <c r="A201" t="s">
        <v>259</v>
      </c>
      <c r="B201" t="s">
        <v>57</v>
      </c>
      <c r="C201" t="s">
        <v>107</v>
      </c>
      <c r="D201" t="s">
        <v>31</v>
      </c>
      <c r="E201" s="1">
        <v>45731</v>
      </c>
      <c r="F201" s="1">
        <v>45740</v>
      </c>
      <c r="H201" t="s">
        <v>24</v>
      </c>
      <c r="I201" t="s">
        <v>28</v>
      </c>
      <c r="J201" t="b">
        <v>0</v>
      </c>
      <c r="K201">
        <v>0</v>
      </c>
      <c r="L201">
        <v>10</v>
      </c>
    </row>
    <row r="202" spans="1:12" x14ac:dyDescent="0.25">
      <c r="A202" t="s">
        <v>260</v>
      </c>
      <c r="B202" t="s">
        <v>50</v>
      </c>
      <c r="C202" t="s">
        <v>112</v>
      </c>
      <c r="D202" t="s">
        <v>46</v>
      </c>
      <c r="E202" s="1">
        <v>45802</v>
      </c>
      <c r="F202" s="1">
        <v>45829</v>
      </c>
      <c r="H202" t="s">
        <v>39</v>
      </c>
      <c r="I202" t="s">
        <v>28</v>
      </c>
      <c r="J202" t="b">
        <v>0</v>
      </c>
      <c r="K202">
        <v>0</v>
      </c>
      <c r="L202">
        <v>1</v>
      </c>
    </row>
    <row r="203" spans="1:12" x14ac:dyDescent="0.25">
      <c r="A203" t="s">
        <v>261</v>
      </c>
      <c r="B203" t="s">
        <v>19</v>
      </c>
      <c r="C203" t="s">
        <v>52</v>
      </c>
      <c r="D203" t="s">
        <v>31</v>
      </c>
      <c r="E203" s="1">
        <v>45955</v>
      </c>
      <c r="F203" s="1">
        <v>45963</v>
      </c>
      <c r="G203" s="1">
        <v>45969</v>
      </c>
      <c r="H203" t="s">
        <v>32</v>
      </c>
      <c r="I203" t="s">
        <v>17</v>
      </c>
      <c r="J203" t="b">
        <v>1</v>
      </c>
      <c r="K203">
        <v>6</v>
      </c>
      <c r="L203">
        <v>6</v>
      </c>
    </row>
    <row r="204" spans="1:12" x14ac:dyDescent="0.25">
      <c r="A204" t="s">
        <v>262</v>
      </c>
      <c r="B204" t="s">
        <v>34</v>
      </c>
      <c r="C204" t="s">
        <v>107</v>
      </c>
      <c r="D204" t="s">
        <v>31</v>
      </c>
      <c r="E204" s="1">
        <v>46035</v>
      </c>
      <c r="F204" s="1">
        <v>46042</v>
      </c>
      <c r="H204" t="s">
        <v>16</v>
      </c>
      <c r="I204" t="s">
        <v>25</v>
      </c>
      <c r="J204" t="b">
        <v>1</v>
      </c>
      <c r="K204">
        <v>16</v>
      </c>
      <c r="L204">
        <v>4</v>
      </c>
    </row>
    <row r="205" spans="1:12" x14ac:dyDescent="0.25">
      <c r="A205" t="s">
        <v>263</v>
      </c>
      <c r="B205" t="s">
        <v>75</v>
      </c>
      <c r="C205" t="s">
        <v>112</v>
      </c>
      <c r="D205" t="s">
        <v>46</v>
      </c>
      <c r="E205" s="1">
        <v>45683</v>
      </c>
      <c r="F205" s="1">
        <v>45707</v>
      </c>
      <c r="G205" s="1">
        <v>45711</v>
      </c>
      <c r="H205" t="s">
        <v>32</v>
      </c>
      <c r="I205" t="s">
        <v>28</v>
      </c>
      <c r="J205" t="b">
        <v>1</v>
      </c>
      <c r="K205">
        <v>4</v>
      </c>
      <c r="L205">
        <v>10</v>
      </c>
    </row>
    <row r="206" spans="1:12" x14ac:dyDescent="0.25">
      <c r="A206" t="s">
        <v>264</v>
      </c>
      <c r="B206" t="s">
        <v>57</v>
      </c>
      <c r="C206" t="s">
        <v>52</v>
      </c>
      <c r="D206" t="s">
        <v>31</v>
      </c>
      <c r="E206" s="1">
        <v>45752</v>
      </c>
      <c r="F206" s="1">
        <v>45779</v>
      </c>
      <c r="H206" t="s">
        <v>16</v>
      </c>
      <c r="I206" t="s">
        <v>17</v>
      </c>
      <c r="J206" t="b">
        <v>1</v>
      </c>
      <c r="K206">
        <v>11</v>
      </c>
      <c r="L206">
        <v>9</v>
      </c>
    </row>
    <row r="207" spans="1:12" x14ac:dyDescent="0.25">
      <c r="A207" t="s">
        <v>265</v>
      </c>
      <c r="B207" t="s">
        <v>90</v>
      </c>
      <c r="C207" t="s">
        <v>27</v>
      </c>
      <c r="D207" t="s">
        <v>15</v>
      </c>
      <c r="E207" s="1">
        <v>45784</v>
      </c>
      <c r="F207" s="1">
        <v>45794</v>
      </c>
      <c r="G207" s="1">
        <v>45800</v>
      </c>
      <c r="H207" t="s">
        <v>32</v>
      </c>
      <c r="I207" t="s">
        <v>17</v>
      </c>
      <c r="J207" t="b">
        <v>1</v>
      </c>
      <c r="K207">
        <v>6</v>
      </c>
      <c r="L207">
        <v>6</v>
      </c>
    </row>
    <row r="208" spans="1:12" x14ac:dyDescent="0.25">
      <c r="A208" t="s">
        <v>266</v>
      </c>
      <c r="B208" t="s">
        <v>66</v>
      </c>
      <c r="C208" t="s">
        <v>76</v>
      </c>
      <c r="D208" t="s">
        <v>36</v>
      </c>
      <c r="E208" s="1">
        <v>46012</v>
      </c>
      <c r="F208" s="1">
        <v>46032</v>
      </c>
      <c r="G208" s="1">
        <v>46034</v>
      </c>
      <c r="H208" t="s">
        <v>32</v>
      </c>
      <c r="I208" t="s">
        <v>17</v>
      </c>
      <c r="J208" t="b">
        <v>1</v>
      </c>
      <c r="K208">
        <v>2</v>
      </c>
      <c r="L208">
        <v>5</v>
      </c>
    </row>
    <row r="209" spans="1:12" x14ac:dyDescent="0.25">
      <c r="A209" t="s">
        <v>267</v>
      </c>
      <c r="B209" t="s">
        <v>87</v>
      </c>
      <c r="C209" t="s">
        <v>42</v>
      </c>
      <c r="D209" t="s">
        <v>36</v>
      </c>
      <c r="E209" s="1">
        <v>45981</v>
      </c>
      <c r="F209" s="1">
        <v>45996</v>
      </c>
      <c r="G209" s="1">
        <v>45997</v>
      </c>
      <c r="H209" t="s">
        <v>32</v>
      </c>
      <c r="I209" t="s">
        <v>25</v>
      </c>
      <c r="J209" t="b">
        <v>1</v>
      </c>
      <c r="K209">
        <v>1</v>
      </c>
      <c r="L209">
        <v>5</v>
      </c>
    </row>
    <row r="210" spans="1:12" x14ac:dyDescent="0.25">
      <c r="A210" t="s">
        <v>268</v>
      </c>
      <c r="B210" t="s">
        <v>90</v>
      </c>
      <c r="C210" t="s">
        <v>52</v>
      </c>
      <c r="D210" t="s">
        <v>31</v>
      </c>
      <c r="E210" s="1">
        <v>45894</v>
      </c>
      <c r="F210" s="1">
        <v>45906</v>
      </c>
      <c r="G210" s="1">
        <v>45909</v>
      </c>
      <c r="H210" t="s">
        <v>32</v>
      </c>
      <c r="I210" t="s">
        <v>17</v>
      </c>
      <c r="J210" t="b">
        <v>1</v>
      </c>
      <c r="K210">
        <v>3</v>
      </c>
      <c r="L210">
        <v>7</v>
      </c>
    </row>
    <row r="211" spans="1:12" x14ac:dyDescent="0.25">
      <c r="A211" t="s">
        <v>269</v>
      </c>
      <c r="B211" t="s">
        <v>50</v>
      </c>
      <c r="C211" t="s">
        <v>54</v>
      </c>
      <c r="D211" t="s">
        <v>21</v>
      </c>
      <c r="E211" s="1">
        <v>46102</v>
      </c>
      <c r="F211" s="1">
        <v>46117</v>
      </c>
      <c r="H211" t="s">
        <v>16</v>
      </c>
      <c r="I211" t="s">
        <v>17</v>
      </c>
      <c r="J211" t="b">
        <v>1</v>
      </c>
      <c r="K211">
        <v>6</v>
      </c>
      <c r="L211">
        <v>6</v>
      </c>
    </row>
    <row r="212" spans="1:12" x14ac:dyDescent="0.25">
      <c r="A212" t="s">
        <v>270</v>
      </c>
      <c r="B212" t="s">
        <v>19</v>
      </c>
      <c r="C212" t="s">
        <v>112</v>
      </c>
      <c r="D212" t="s">
        <v>46</v>
      </c>
      <c r="E212" s="1">
        <v>45995</v>
      </c>
      <c r="F212" s="1">
        <v>46015</v>
      </c>
      <c r="H212" t="s">
        <v>39</v>
      </c>
      <c r="I212" t="s">
        <v>17</v>
      </c>
      <c r="J212" t="b">
        <v>0</v>
      </c>
      <c r="K212">
        <v>0</v>
      </c>
      <c r="L212">
        <v>5</v>
      </c>
    </row>
    <row r="213" spans="1:12" x14ac:dyDescent="0.25">
      <c r="A213" t="s">
        <v>271</v>
      </c>
      <c r="B213" t="s">
        <v>87</v>
      </c>
      <c r="C213" t="s">
        <v>54</v>
      </c>
      <c r="D213" t="s">
        <v>21</v>
      </c>
      <c r="E213" s="1">
        <v>45990</v>
      </c>
      <c r="F213" s="1">
        <v>46003</v>
      </c>
      <c r="G213" s="1">
        <v>46005</v>
      </c>
      <c r="H213" t="s">
        <v>32</v>
      </c>
      <c r="I213" t="s">
        <v>25</v>
      </c>
      <c r="J213" t="b">
        <v>1</v>
      </c>
      <c r="K213">
        <v>2</v>
      </c>
      <c r="L213">
        <v>4</v>
      </c>
    </row>
    <row r="214" spans="1:12" x14ac:dyDescent="0.25">
      <c r="A214" t="s">
        <v>272</v>
      </c>
      <c r="B214" t="s">
        <v>87</v>
      </c>
      <c r="C214" t="s">
        <v>112</v>
      </c>
      <c r="D214" t="s">
        <v>46</v>
      </c>
      <c r="E214" s="1">
        <v>46066</v>
      </c>
      <c r="F214" s="1">
        <v>46077</v>
      </c>
      <c r="G214" s="1">
        <v>46079</v>
      </c>
      <c r="H214" t="s">
        <v>32</v>
      </c>
      <c r="I214" t="s">
        <v>17</v>
      </c>
      <c r="J214" t="b">
        <v>1</v>
      </c>
      <c r="K214">
        <v>2</v>
      </c>
      <c r="L214">
        <v>6</v>
      </c>
    </row>
    <row r="215" spans="1:12" x14ac:dyDescent="0.25">
      <c r="A215" t="s">
        <v>273</v>
      </c>
      <c r="B215" t="s">
        <v>34</v>
      </c>
      <c r="C215" t="s">
        <v>54</v>
      </c>
      <c r="D215" t="s">
        <v>21</v>
      </c>
      <c r="E215" s="1">
        <v>45856</v>
      </c>
      <c r="F215" s="1">
        <v>45865</v>
      </c>
      <c r="G215" s="1">
        <v>45864</v>
      </c>
      <c r="H215" t="s">
        <v>32</v>
      </c>
      <c r="I215" t="s">
        <v>28</v>
      </c>
      <c r="J215" t="b">
        <v>0</v>
      </c>
      <c r="K215">
        <v>0</v>
      </c>
      <c r="L215">
        <v>7</v>
      </c>
    </row>
    <row r="216" spans="1:12" x14ac:dyDescent="0.25">
      <c r="A216" t="s">
        <v>274</v>
      </c>
      <c r="B216" t="s">
        <v>87</v>
      </c>
      <c r="C216" t="s">
        <v>61</v>
      </c>
      <c r="D216" t="s">
        <v>21</v>
      </c>
      <c r="E216" s="1">
        <v>45956</v>
      </c>
      <c r="F216" s="1">
        <v>45967</v>
      </c>
      <c r="H216" t="s">
        <v>24</v>
      </c>
      <c r="I216" t="s">
        <v>17</v>
      </c>
      <c r="J216" t="b">
        <v>0</v>
      </c>
      <c r="K216">
        <v>0</v>
      </c>
      <c r="L216">
        <v>1</v>
      </c>
    </row>
    <row r="217" spans="1:12" x14ac:dyDescent="0.25">
      <c r="A217" t="s">
        <v>275</v>
      </c>
      <c r="B217" t="s">
        <v>78</v>
      </c>
      <c r="C217" t="s">
        <v>76</v>
      </c>
      <c r="D217" t="s">
        <v>36</v>
      </c>
      <c r="E217" s="1">
        <v>46080</v>
      </c>
      <c r="F217" s="1">
        <v>46106</v>
      </c>
      <c r="G217" s="1">
        <v>46111</v>
      </c>
      <c r="H217" t="s">
        <v>32</v>
      </c>
      <c r="I217" t="s">
        <v>28</v>
      </c>
      <c r="J217" t="b">
        <v>1</v>
      </c>
      <c r="K217">
        <v>5</v>
      </c>
      <c r="L217">
        <v>2</v>
      </c>
    </row>
    <row r="218" spans="1:12" x14ac:dyDescent="0.25">
      <c r="A218" t="s">
        <v>276</v>
      </c>
      <c r="B218" t="s">
        <v>60</v>
      </c>
      <c r="C218" t="s">
        <v>45</v>
      </c>
      <c r="D218" t="s">
        <v>46</v>
      </c>
      <c r="E218" s="1">
        <v>46002</v>
      </c>
      <c r="F218" s="1">
        <v>46008</v>
      </c>
      <c r="G218" s="1">
        <v>46008</v>
      </c>
      <c r="H218" t="s">
        <v>32</v>
      </c>
      <c r="I218" t="s">
        <v>17</v>
      </c>
      <c r="J218" t="b">
        <v>0</v>
      </c>
      <c r="K218">
        <v>0</v>
      </c>
      <c r="L218">
        <v>9</v>
      </c>
    </row>
    <row r="219" spans="1:12" x14ac:dyDescent="0.25">
      <c r="A219" t="s">
        <v>277</v>
      </c>
      <c r="B219" t="s">
        <v>57</v>
      </c>
      <c r="C219" t="s">
        <v>30</v>
      </c>
      <c r="D219" t="s">
        <v>31</v>
      </c>
      <c r="E219" s="1">
        <v>46090</v>
      </c>
      <c r="F219" s="1">
        <v>46107</v>
      </c>
      <c r="H219" t="s">
        <v>39</v>
      </c>
      <c r="I219" t="s">
        <v>17</v>
      </c>
      <c r="J219" t="b">
        <v>0</v>
      </c>
      <c r="K219">
        <v>0</v>
      </c>
      <c r="L219">
        <v>8</v>
      </c>
    </row>
    <row r="220" spans="1:12" x14ac:dyDescent="0.25">
      <c r="A220" t="s">
        <v>278</v>
      </c>
      <c r="B220" t="s">
        <v>87</v>
      </c>
      <c r="C220" t="s">
        <v>91</v>
      </c>
      <c r="D220" t="s">
        <v>46</v>
      </c>
      <c r="E220" s="1">
        <v>45772</v>
      </c>
      <c r="F220" s="1">
        <v>45783</v>
      </c>
      <c r="H220" t="s">
        <v>24</v>
      </c>
      <c r="I220" t="s">
        <v>25</v>
      </c>
      <c r="J220" t="b">
        <v>0</v>
      </c>
      <c r="K220">
        <v>0</v>
      </c>
      <c r="L220">
        <v>8</v>
      </c>
    </row>
    <row r="221" spans="1:12" x14ac:dyDescent="0.25">
      <c r="A221" t="s">
        <v>279</v>
      </c>
      <c r="B221" t="s">
        <v>48</v>
      </c>
      <c r="C221" t="s">
        <v>52</v>
      </c>
      <c r="D221" t="s">
        <v>31</v>
      </c>
      <c r="E221" s="1">
        <v>45856</v>
      </c>
      <c r="F221" s="1">
        <v>45877</v>
      </c>
      <c r="H221" t="s">
        <v>39</v>
      </c>
      <c r="I221" t="s">
        <v>28</v>
      </c>
      <c r="J221" t="b">
        <v>0</v>
      </c>
      <c r="K221">
        <v>0</v>
      </c>
      <c r="L221">
        <v>6</v>
      </c>
    </row>
    <row r="222" spans="1:12" x14ac:dyDescent="0.25">
      <c r="A222" t="s">
        <v>280</v>
      </c>
      <c r="B222" t="s">
        <v>90</v>
      </c>
      <c r="C222" t="s">
        <v>91</v>
      </c>
      <c r="D222" t="s">
        <v>46</v>
      </c>
      <c r="E222" s="1">
        <v>45932</v>
      </c>
      <c r="F222" s="1">
        <v>45944</v>
      </c>
      <c r="H222" t="s">
        <v>16</v>
      </c>
      <c r="I222" t="s">
        <v>17</v>
      </c>
      <c r="J222" t="b">
        <v>1</v>
      </c>
      <c r="K222">
        <v>9</v>
      </c>
      <c r="L222">
        <v>1</v>
      </c>
    </row>
    <row r="223" spans="1:12" x14ac:dyDescent="0.25">
      <c r="A223" t="s">
        <v>281</v>
      </c>
      <c r="B223" t="s">
        <v>98</v>
      </c>
      <c r="C223" t="s">
        <v>54</v>
      </c>
      <c r="D223" t="s">
        <v>21</v>
      </c>
      <c r="E223" s="1">
        <v>45903</v>
      </c>
      <c r="F223" s="1">
        <v>45925</v>
      </c>
      <c r="G223" s="1">
        <v>45927</v>
      </c>
      <c r="H223" t="s">
        <v>32</v>
      </c>
      <c r="I223" t="s">
        <v>25</v>
      </c>
      <c r="J223" t="b">
        <v>1</v>
      </c>
      <c r="K223">
        <v>2</v>
      </c>
      <c r="L223">
        <v>10</v>
      </c>
    </row>
    <row r="224" spans="1:12" x14ac:dyDescent="0.25">
      <c r="A224" t="s">
        <v>282</v>
      </c>
      <c r="B224" t="s">
        <v>23</v>
      </c>
      <c r="C224" t="s">
        <v>27</v>
      </c>
      <c r="D224" t="s">
        <v>15</v>
      </c>
      <c r="E224" s="1">
        <v>46068</v>
      </c>
      <c r="F224" s="1">
        <v>46096</v>
      </c>
      <c r="G224" s="1">
        <v>46103</v>
      </c>
      <c r="H224" t="s">
        <v>32</v>
      </c>
      <c r="I224" t="s">
        <v>28</v>
      </c>
      <c r="J224" t="b">
        <v>1</v>
      </c>
      <c r="K224">
        <v>7</v>
      </c>
      <c r="L224">
        <v>7</v>
      </c>
    </row>
    <row r="225" spans="1:12" x14ac:dyDescent="0.25">
      <c r="A225" t="s">
        <v>283</v>
      </c>
      <c r="B225" t="s">
        <v>90</v>
      </c>
      <c r="C225" t="s">
        <v>30</v>
      </c>
      <c r="D225" t="s">
        <v>31</v>
      </c>
      <c r="E225" s="1">
        <v>46002</v>
      </c>
      <c r="F225" s="1">
        <v>46011</v>
      </c>
      <c r="H225" t="s">
        <v>16</v>
      </c>
      <c r="I225" t="s">
        <v>25</v>
      </c>
      <c r="J225" t="b">
        <v>1</v>
      </c>
      <c r="K225">
        <v>15</v>
      </c>
      <c r="L225">
        <v>9</v>
      </c>
    </row>
    <row r="226" spans="1:12" x14ac:dyDescent="0.25">
      <c r="A226" t="s">
        <v>284</v>
      </c>
      <c r="B226" t="s">
        <v>68</v>
      </c>
      <c r="C226" t="s">
        <v>14</v>
      </c>
      <c r="D226" t="s">
        <v>15</v>
      </c>
      <c r="E226" s="1">
        <v>45948</v>
      </c>
      <c r="F226" s="1">
        <v>45968</v>
      </c>
      <c r="G226" s="1">
        <v>45968</v>
      </c>
      <c r="H226" t="s">
        <v>32</v>
      </c>
      <c r="I226" t="s">
        <v>17</v>
      </c>
      <c r="J226" t="b">
        <v>0</v>
      </c>
      <c r="K226">
        <v>0</v>
      </c>
      <c r="L226">
        <v>5</v>
      </c>
    </row>
    <row r="227" spans="1:12" x14ac:dyDescent="0.25">
      <c r="A227" t="s">
        <v>285</v>
      </c>
      <c r="B227" t="s">
        <v>60</v>
      </c>
      <c r="C227" t="s">
        <v>30</v>
      </c>
      <c r="D227" t="s">
        <v>31</v>
      </c>
      <c r="E227" s="1">
        <v>45756</v>
      </c>
      <c r="F227" s="1">
        <v>45776</v>
      </c>
      <c r="G227" s="1">
        <v>45782</v>
      </c>
      <c r="H227" t="s">
        <v>32</v>
      </c>
      <c r="I227" t="s">
        <v>17</v>
      </c>
      <c r="J227" t="b">
        <v>1</v>
      </c>
      <c r="K227">
        <v>6</v>
      </c>
      <c r="L227">
        <v>3</v>
      </c>
    </row>
    <row r="228" spans="1:12" x14ac:dyDescent="0.25">
      <c r="A228" t="s">
        <v>286</v>
      </c>
      <c r="B228" t="s">
        <v>50</v>
      </c>
      <c r="C228" t="s">
        <v>30</v>
      </c>
      <c r="D228" t="s">
        <v>31</v>
      </c>
      <c r="E228" s="1">
        <v>45809</v>
      </c>
      <c r="F228" s="1">
        <v>45824</v>
      </c>
      <c r="G228" s="1">
        <v>45829</v>
      </c>
      <c r="H228" t="s">
        <v>32</v>
      </c>
      <c r="I228" t="s">
        <v>28</v>
      </c>
      <c r="J228" t="b">
        <v>1</v>
      </c>
      <c r="K228">
        <v>5</v>
      </c>
      <c r="L228">
        <v>9</v>
      </c>
    </row>
    <row r="229" spans="1:12" x14ac:dyDescent="0.25">
      <c r="A229" t="s">
        <v>287</v>
      </c>
      <c r="B229" t="s">
        <v>68</v>
      </c>
      <c r="C229" t="s">
        <v>54</v>
      </c>
      <c r="D229" t="s">
        <v>21</v>
      </c>
      <c r="E229" s="1">
        <v>45710</v>
      </c>
      <c r="F229" s="1">
        <v>45716</v>
      </c>
      <c r="H229" t="s">
        <v>16</v>
      </c>
      <c r="I229" t="s">
        <v>28</v>
      </c>
      <c r="J229" t="b">
        <v>1</v>
      </c>
      <c r="K229">
        <v>8</v>
      </c>
      <c r="L229">
        <v>9</v>
      </c>
    </row>
    <row r="230" spans="1:12" x14ac:dyDescent="0.25">
      <c r="A230" t="s">
        <v>288</v>
      </c>
      <c r="B230" t="s">
        <v>50</v>
      </c>
      <c r="C230" t="s">
        <v>27</v>
      </c>
      <c r="D230" t="s">
        <v>15</v>
      </c>
      <c r="E230" s="1">
        <v>45848</v>
      </c>
      <c r="F230" s="1">
        <v>45861</v>
      </c>
      <c r="G230" s="1">
        <v>45865</v>
      </c>
      <c r="H230" t="s">
        <v>32</v>
      </c>
      <c r="I230" t="s">
        <v>28</v>
      </c>
      <c r="J230" t="b">
        <v>1</v>
      </c>
      <c r="K230">
        <v>4</v>
      </c>
      <c r="L230">
        <v>10</v>
      </c>
    </row>
    <row r="231" spans="1:12" x14ac:dyDescent="0.25">
      <c r="A231" t="s">
        <v>289</v>
      </c>
      <c r="B231" t="s">
        <v>70</v>
      </c>
      <c r="C231" t="s">
        <v>112</v>
      </c>
      <c r="D231" t="s">
        <v>46</v>
      </c>
      <c r="E231" s="1">
        <v>45720</v>
      </c>
      <c r="F231" s="1">
        <v>45738</v>
      </c>
      <c r="G231" s="1">
        <v>45743</v>
      </c>
      <c r="H231" t="s">
        <v>32</v>
      </c>
      <c r="I231" t="s">
        <v>25</v>
      </c>
      <c r="J231" t="b">
        <v>1</v>
      </c>
      <c r="K231">
        <v>5</v>
      </c>
      <c r="L231">
        <v>10</v>
      </c>
    </row>
    <row r="232" spans="1:12" x14ac:dyDescent="0.25">
      <c r="A232" t="s">
        <v>290</v>
      </c>
      <c r="B232" t="s">
        <v>34</v>
      </c>
      <c r="C232" t="s">
        <v>45</v>
      </c>
      <c r="D232" t="s">
        <v>46</v>
      </c>
      <c r="E232" s="1">
        <v>45708</v>
      </c>
      <c r="F232" s="1">
        <v>45730</v>
      </c>
      <c r="H232" t="s">
        <v>24</v>
      </c>
      <c r="I232" t="s">
        <v>25</v>
      </c>
      <c r="J232" t="b">
        <v>0</v>
      </c>
      <c r="K232">
        <v>0</v>
      </c>
      <c r="L232">
        <v>3</v>
      </c>
    </row>
    <row r="233" spans="1:12" x14ac:dyDescent="0.25">
      <c r="A233" t="s">
        <v>291</v>
      </c>
      <c r="B233" t="s">
        <v>85</v>
      </c>
      <c r="C233" t="s">
        <v>61</v>
      </c>
      <c r="D233" t="s">
        <v>21</v>
      </c>
      <c r="E233" s="1">
        <v>45767</v>
      </c>
      <c r="F233" s="1">
        <v>45783</v>
      </c>
      <c r="G233" s="1">
        <v>45783</v>
      </c>
      <c r="H233" t="s">
        <v>32</v>
      </c>
      <c r="I233" t="s">
        <v>28</v>
      </c>
      <c r="J233" t="b">
        <v>0</v>
      </c>
      <c r="K233">
        <v>0</v>
      </c>
      <c r="L233">
        <v>6</v>
      </c>
    </row>
    <row r="234" spans="1:12" x14ac:dyDescent="0.25">
      <c r="A234" t="s">
        <v>292</v>
      </c>
      <c r="B234" t="s">
        <v>90</v>
      </c>
      <c r="C234" t="s">
        <v>35</v>
      </c>
      <c r="D234" t="s">
        <v>36</v>
      </c>
      <c r="E234" s="1">
        <v>45672</v>
      </c>
      <c r="F234" s="1">
        <v>45688</v>
      </c>
      <c r="H234" t="s">
        <v>39</v>
      </c>
      <c r="I234" t="s">
        <v>17</v>
      </c>
      <c r="J234" t="b">
        <v>0</v>
      </c>
      <c r="K234">
        <v>0</v>
      </c>
      <c r="L234">
        <v>1</v>
      </c>
    </row>
    <row r="235" spans="1:12" x14ac:dyDescent="0.25">
      <c r="A235" t="s">
        <v>293</v>
      </c>
      <c r="B235" t="s">
        <v>75</v>
      </c>
      <c r="C235" t="s">
        <v>14</v>
      </c>
      <c r="D235" t="s">
        <v>15</v>
      </c>
      <c r="E235" s="1">
        <v>45801</v>
      </c>
      <c r="F235" s="1">
        <v>45812</v>
      </c>
      <c r="H235" t="s">
        <v>39</v>
      </c>
      <c r="I235" t="s">
        <v>17</v>
      </c>
      <c r="J235" t="b">
        <v>0</v>
      </c>
      <c r="K235">
        <v>0</v>
      </c>
      <c r="L235">
        <v>1</v>
      </c>
    </row>
    <row r="236" spans="1:12" x14ac:dyDescent="0.25">
      <c r="A236" t="s">
        <v>294</v>
      </c>
      <c r="B236" t="s">
        <v>63</v>
      </c>
      <c r="C236" t="s">
        <v>27</v>
      </c>
      <c r="D236" t="s">
        <v>15</v>
      </c>
      <c r="E236" s="1">
        <v>46001</v>
      </c>
      <c r="F236" s="1">
        <v>46013</v>
      </c>
      <c r="G236" s="1">
        <v>46014</v>
      </c>
      <c r="H236" t="s">
        <v>32</v>
      </c>
      <c r="I236" t="s">
        <v>17</v>
      </c>
      <c r="J236" t="b">
        <v>1</v>
      </c>
      <c r="K236">
        <v>1</v>
      </c>
      <c r="L236">
        <v>4</v>
      </c>
    </row>
    <row r="237" spans="1:12" x14ac:dyDescent="0.25">
      <c r="A237" t="s">
        <v>295</v>
      </c>
      <c r="B237" t="s">
        <v>23</v>
      </c>
      <c r="C237" t="s">
        <v>38</v>
      </c>
      <c r="D237" t="s">
        <v>15</v>
      </c>
      <c r="E237" s="1">
        <v>45835</v>
      </c>
      <c r="F237" s="1">
        <v>45846</v>
      </c>
      <c r="H237" t="s">
        <v>16</v>
      </c>
      <c r="I237" t="s">
        <v>25</v>
      </c>
      <c r="J237" t="b">
        <v>1</v>
      </c>
      <c r="K237">
        <v>5</v>
      </c>
      <c r="L237">
        <v>10</v>
      </c>
    </row>
    <row r="238" spans="1:12" x14ac:dyDescent="0.25">
      <c r="A238" t="s">
        <v>296</v>
      </c>
      <c r="B238" t="s">
        <v>98</v>
      </c>
      <c r="C238" t="s">
        <v>38</v>
      </c>
      <c r="D238" t="s">
        <v>15</v>
      </c>
      <c r="E238" s="1">
        <v>45778</v>
      </c>
      <c r="F238" s="1">
        <v>45784</v>
      </c>
      <c r="G238" s="1">
        <v>45787</v>
      </c>
      <c r="H238" t="s">
        <v>32</v>
      </c>
      <c r="I238" t="s">
        <v>25</v>
      </c>
      <c r="J238" t="b">
        <v>1</v>
      </c>
      <c r="K238">
        <v>3</v>
      </c>
      <c r="L238">
        <v>3</v>
      </c>
    </row>
    <row r="239" spans="1:12" x14ac:dyDescent="0.25">
      <c r="A239" t="s">
        <v>297</v>
      </c>
      <c r="B239" t="s">
        <v>19</v>
      </c>
      <c r="C239" t="s">
        <v>112</v>
      </c>
      <c r="D239" t="s">
        <v>46</v>
      </c>
      <c r="E239" s="1">
        <v>45784</v>
      </c>
      <c r="F239" s="1">
        <v>45788</v>
      </c>
      <c r="G239" s="1">
        <v>45791</v>
      </c>
      <c r="H239" t="s">
        <v>32</v>
      </c>
      <c r="I239" t="s">
        <v>58</v>
      </c>
      <c r="J239" t="b">
        <v>1</v>
      </c>
      <c r="K239">
        <v>3</v>
      </c>
      <c r="L239">
        <v>4</v>
      </c>
    </row>
    <row r="240" spans="1:12" x14ac:dyDescent="0.25">
      <c r="A240" t="s">
        <v>298</v>
      </c>
      <c r="B240" t="s">
        <v>78</v>
      </c>
      <c r="C240" t="s">
        <v>76</v>
      </c>
      <c r="D240" t="s">
        <v>36</v>
      </c>
      <c r="E240" s="1">
        <v>45702</v>
      </c>
      <c r="F240" s="1">
        <v>45705</v>
      </c>
      <c r="G240" s="1">
        <v>45706</v>
      </c>
      <c r="H240" t="s">
        <v>32</v>
      </c>
      <c r="I240" t="s">
        <v>58</v>
      </c>
      <c r="J240" t="b">
        <v>1</v>
      </c>
      <c r="K240">
        <v>1</v>
      </c>
      <c r="L240">
        <v>9</v>
      </c>
    </row>
    <row r="241" spans="1:12" x14ac:dyDescent="0.25">
      <c r="A241" t="s">
        <v>299</v>
      </c>
      <c r="B241" t="s">
        <v>41</v>
      </c>
      <c r="C241" t="s">
        <v>52</v>
      </c>
      <c r="D241" t="s">
        <v>31</v>
      </c>
      <c r="E241" s="1">
        <v>45687</v>
      </c>
      <c r="F241" s="1">
        <v>45713</v>
      </c>
      <c r="G241" s="1">
        <v>45713</v>
      </c>
      <c r="H241" t="s">
        <v>32</v>
      </c>
      <c r="I241" t="s">
        <v>25</v>
      </c>
      <c r="J241" t="b">
        <v>0</v>
      </c>
      <c r="K241">
        <v>0</v>
      </c>
      <c r="L241">
        <v>1</v>
      </c>
    </row>
    <row r="242" spans="1:12" x14ac:dyDescent="0.25">
      <c r="A242" t="s">
        <v>300</v>
      </c>
      <c r="B242" t="s">
        <v>13</v>
      </c>
      <c r="C242" t="s">
        <v>61</v>
      </c>
      <c r="D242" t="s">
        <v>21</v>
      </c>
      <c r="E242" s="1">
        <v>45848</v>
      </c>
      <c r="F242" s="1">
        <v>45861</v>
      </c>
      <c r="H242" t="s">
        <v>16</v>
      </c>
      <c r="I242" t="s">
        <v>17</v>
      </c>
      <c r="J242" t="b">
        <v>1</v>
      </c>
      <c r="K242">
        <v>11</v>
      </c>
      <c r="L242">
        <v>1</v>
      </c>
    </row>
    <row r="243" spans="1:12" x14ac:dyDescent="0.25">
      <c r="A243" t="s">
        <v>301</v>
      </c>
      <c r="B243" t="s">
        <v>19</v>
      </c>
      <c r="C243" t="s">
        <v>38</v>
      </c>
      <c r="D243" t="s">
        <v>15</v>
      </c>
      <c r="E243" s="1">
        <v>45900</v>
      </c>
      <c r="F243" s="1">
        <v>45923</v>
      </c>
      <c r="H243" t="s">
        <v>16</v>
      </c>
      <c r="I243" t="s">
        <v>28</v>
      </c>
      <c r="J243" t="b">
        <v>1</v>
      </c>
      <c r="K243">
        <v>14</v>
      </c>
      <c r="L243">
        <v>3</v>
      </c>
    </row>
    <row r="244" spans="1:12" x14ac:dyDescent="0.25">
      <c r="A244" t="s">
        <v>302</v>
      </c>
      <c r="B244" t="s">
        <v>57</v>
      </c>
      <c r="C244" t="s">
        <v>27</v>
      </c>
      <c r="D244" t="s">
        <v>15</v>
      </c>
      <c r="E244" s="1">
        <v>45949</v>
      </c>
      <c r="F244" s="1">
        <v>45972</v>
      </c>
      <c r="G244" s="1">
        <v>45979</v>
      </c>
      <c r="H244" t="s">
        <v>32</v>
      </c>
      <c r="I244" t="s">
        <v>28</v>
      </c>
      <c r="J244" t="b">
        <v>1</v>
      </c>
      <c r="K244">
        <v>7</v>
      </c>
      <c r="L244">
        <v>7</v>
      </c>
    </row>
    <row r="245" spans="1:12" x14ac:dyDescent="0.25">
      <c r="A245" t="s">
        <v>303</v>
      </c>
      <c r="B245" t="s">
        <v>66</v>
      </c>
      <c r="C245" t="s">
        <v>14</v>
      </c>
      <c r="D245" t="s">
        <v>15</v>
      </c>
      <c r="E245" s="1">
        <v>45677</v>
      </c>
      <c r="F245" s="1">
        <v>45702</v>
      </c>
      <c r="G245" s="1">
        <v>45700</v>
      </c>
      <c r="H245" t="s">
        <v>32</v>
      </c>
      <c r="I245" t="s">
        <v>58</v>
      </c>
      <c r="J245" t="b">
        <v>0</v>
      </c>
      <c r="K245">
        <v>0</v>
      </c>
      <c r="L245">
        <v>2</v>
      </c>
    </row>
    <row r="246" spans="1:12" x14ac:dyDescent="0.25">
      <c r="A246" t="s">
        <v>304</v>
      </c>
      <c r="B246" t="s">
        <v>63</v>
      </c>
      <c r="C246" t="s">
        <v>42</v>
      </c>
      <c r="D246" t="s">
        <v>36</v>
      </c>
      <c r="E246" s="1">
        <v>45738</v>
      </c>
      <c r="F246" s="1">
        <v>45753</v>
      </c>
      <c r="G246" s="1">
        <v>45760</v>
      </c>
      <c r="H246" t="s">
        <v>32</v>
      </c>
      <c r="I246" t="s">
        <v>25</v>
      </c>
      <c r="J246" t="b">
        <v>1</v>
      </c>
      <c r="K246">
        <v>7</v>
      </c>
      <c r="L246">
        <v>10</v>
      </c>
    </row>
    <row r="247" spans="1:12" x14ac:dyDescent="0.25">
      <c r="A247" t="s">
        <v>305</v>
      </c>
      <c r="B247" t="s">
        <v>98</v>
      </c>
      <c r="C247" t="s">
        <v>42</v>
      </c>
      <c r="D247" t="s">
        <v>36</v>
      </c>
      <c r="E247" s="1">
        <v>45862</v>
      </c>
      <c r="F247" s="1">
        <v>45870</v>
      </c>
      <c r="H247" t="s">
        <v>39</v>
      </c>
      <c r="I247" t="s">
        <v>25</v>
      </c>
      <c r="J247" t="b">
        <v>0</v>
      </c>
      <c r="K247">
        <v>0</v>
      </c>
      <c r="L247">
        <v>10</v>
      </c>
    </row>
    <row r="248" spans="1:12" x14ac:dyDescent="0.25">
      <c r="A248" t="s">
        <v>306</v>
      </c>
      <c r="B248" t="s">
        <v>60</v>
      </c>
      <c r="C248" t="s">
        <v>52</v>
      </c>
      <c r="D248" t="s">
        <v>31</v>
      </c>
      <c r="E248" s="1">
        <v>45988</v>
      </c>
      <c r="F248" s="1">
        <v>45991</v>
      </c>
      <c r="G248" s="1">
        <v>45994</v>
      </c>
      <c r="H248" t="s">
        <v>32</v>
      </c>
      <c r="I248" t="s">
        <v>17</v>
      </c>
      <c r="J248" t="b">
        <v>1</v>
      </c>
      <c r="K248">
        <v>3</v>
      </c>
      <c r="L248">
        <v>3</v>
      </c>
    </row>
    <row r="249" spans="1:12" x14ac:dyDescent="0.25">
      <c r="A249" t="s">
        <v>307</v>
      </c>
      <c r="B249" t="s">
        <v>34</v>
      </c>
      <c r="C249" t="s">
        <v>38</v>
      </c>
      <c r="D249" t="s">
        <v>15</v>
      </c>
      <c r="E249" s="1">
        <v>45669</v>
      </c>
      <c r="F249" s="1">
        <v>45686</v>
      </c>
      <c r="H249" t="s">
        <v>24</v>
      </c>
      <c r="I249" t="s">
        <v>25</v>
      </c>
      <c r="J249" t="b">
        <v>0</v>
      </c>
      <c r="K249">
        <v>0</v>
      </c>
      <c r="L249">
        <v>6</v>
      </c>
    </row>
    <row r="250" spans="1:12" x14ac:dyDescent="0.25">
      <c r="A250" t="s">
        <v>308</v>
      </c>
      <c r="B250" t="s">
        <v>60</v>
      </c>
      <c r="C250" t="s">
        <v>76</v>
      </c>
      <c r="D250" t="s">
        <v>36</v>
      </c>
      <c r="E250" s="1">
        <v>45787</v>
      </c>
      <c r="F250" s="1">
        <v>45801</v>
      </c>
      <c r="G250" s="1">
        <v>45801</v>
      </c>
      <c r="H250" t="s">
        <v>32</v>
      </c>
      <c r="I250" t="s">
        <v>17</v>
      </c>
      <c r="J250" t="b">
        <v>0</v>
      </c>
      <c r="K250">
        <v>0</v>
      </c>
      <c r="L250">
        <v>7</v>
      </c>
    </row>
    <row r="251" spans="1:12" x14ac:dyDescent="0.25">
      <c r="A251" t="s">
        <v>309</v>
      </c>
      <c r="B251" t="s">
        <v>48</v>
      </c>
      <c r="C251" t="s">
        <v>38</v>
      </c>
      <c r="D251" t="s">
        <v>15</v>
      </c>
      <c r="E251" s="1">
        <v>45997</v>
      </c>
      <c r="F251" s="1">
        <v>46007</v>
      </c>
      <c r="H251" t="s">
        <v>24</v>
      </c>
      <c r="I251" t="s">
        <v>25</v>
      </c>
      <c r="J251" t="b">
        <v>0</v>
      </c>
      <c r="K251">
        <v>0</v>
      </c>
      <c r="L251">
        <v>2</v>
      </c>
    </row>
    <row r="252" spans="1:12" x14ac:dyDescent="0.25">
      <c r="A252" t="s">
        <v>310</v>
      </c>
      <c r="B252" t="s">
        <v>68</v>
      </c>
      <c r="C252" t="s">
        <v>14</v>
      </c>
      <c r="D252" t="s">
        <v>15</v>
      </c>
      <c r="E252" s="1">
        <v>45962</v>
      </c>
      <c r="F252" s="1">
        <v>45987</v>
      </c>
      <c r="H252" t="s">
        <v>24</v>
      </c>
      <c r="I252" t="s">
        <v>28</v>
      </c>
      <c r="J252" t="b">
        <v>0</v>
      </c>
      <c r="K252">
        <v>0</v>
      </c>
      <c r="L252">
        <v>6</v>
      </c>
    </row>
    <row r="253" spans="1:12" x14ac:dyDescent="0.25">
      <c r="A253" t="s">
        <v>311</v>
      </c>
      <c r="B253" t="s">
        <v>98</v>
      </c>
      <c r="C253" t="s">
        <v>76</v>
      </c>
      <c r="D253" t="s">
        <v>36</v>
      </c>
      <c r="E253" s="1">
        <v>46006</v>
      </c>
      <c r="F253" s="1">
        <v>46026</v>
      </c>
      <c r="G253" s="1">
        <v>46031</v>
      </c>
      <c r="H253" t="s">
        <v>32</v>
      </c>
      <c r="I253" t="s">
        <v>58</v>
      </c>
      <c r="J253" t="b">
        <v>1</v>
      </c>
      <c r="K253">
        <v>5</v>
      </c>
      <c r="L253">
        <v>6</v>
      </c>
    </row>
    <row r="254" spans="1:12" x14ac:dyDescent="0.25">
      <c r="A254" t="s">
        <v>312</v>
      </c>
      <c r="B254" t="s">
        <v>34</v>
      </c>
      <c r="C254" t="s">
        <v>54</v>
      </c>
      <c r="D254" t="s">
        <v>21</v>
      </c>
      <c r="E254" s="1">
        <v>46036</v>
      </c>
      <c r="F254" s="1">
        <v>46064</v>
      </c>
      <c r="G254" s="1">
        <v>46066</v>
      </c>
      <c r="H254" t="s">
        <v>32</v>
      </c>
      <c r="I254" t="s">
        <v>25</v>
      </c>
      <c r="J254" t="b">
        <v>1</v>
      </c>
      <c r="K254">
        <v>2</v>
      </c>
      <c r="L254">
        <v>9</v>
      </c>
    </row>
    <row r="255" spans="1:12" x14ac:dyDescent="0.25">
      <c r="A255" t="s">
        <v>313</v>
      </c>
      <c r="B255" t="s">
        <v>66</v>
      </c>
      <c r="C255" t="s">
        <v>76</v>
      </c>
      <c r="D255" t="s">
        <v>36</v>
      </c>
      <c r="E255" s="1">
        <v>45793</v>
      </c>
      <c r="F255" s="1">
        <v>45814</v>
      </c>
      <c r="H255" t="s">
        <v>24</v>
      </c>
      <c r="I255" t="s">
        <v>28</v>
      </c>
      <c r="J255" t="b">
        <v>0</v>
      </c>
      <c r="K255">
        <v>0</v>
      </c>
      <c r="L255">
        <v>5</v>
      </c>
    </row>
    <row r="256" spans="1:12" x14ac:dyDescent="0.25">
      <c r="A256" t="s">
        <v>314</v>
      </c>
      <c r="B256" t="s">
        <v>41</v>
      </c>
      <c r="C256" t="s">
        <v>76</v>
      </c>
      <c r="D256" t="s">
        <v>36</v>
      </c>
      <c r="E256" s="1">
        <v>45848</v>
      </c>
      <c r="F256" s="1">
        <v>45865</v>
      </c>
      <c r="G256" s="1">
        <v>45864</v>
      </c>
      <c r="H256" t="s">
        <v>32</v>
      </c>
      <c r="I256" t="s">
        <v>58</v>
      </c>
      <c r="J256" t="b">
        <v>0</v>
      </c>
      <c r="K256">
        <v>0</v>
      </c>
      <c r="L256">
        <v>3</v>
      </c>
    </row>
    <row r="257" spans="1:12" x14ac:dyDescent="0.25">
      <c r="A257" t="s">
        <v>315</v>
      </c>
      <c r="B257" t="s">
        <v>75</v>
      </c>
      <c r="C257" t="s">
        <v>14</v>
      </c>
      <c r="D257" t="s">
        <v>15</v>
      </c>
      <c r="E257" s="1">
        <v>45820</v>
      </c>
      <c r="F257" s="1">
        <v>45829</v>
      </c>
      <c r="G257" s="1">
        <v>45827</v>
      </c>
      <c r="H257" t="s">
        <v>32</v>
      </c>
      <c r="I257" t="s">
        <v>25</v>
      </c>
      <c r="J257" t="b">
        <v>0</v>
      </c>
      <c r="K257">
        <v>0</v>
      </c>
      <c r="L257">
        <v>2</v>
      </c>
    </row>
    <row r="258" spans="1:12" x14ac:dyDescent="0.25">
      <c r="A258" t="s">
        <v>316</v>
      </c>
      <c r="B258" t="s">
        <v>23</v>
      </c>
      <c r="C258" t="s">
        <v>20</v>
      </c>
      <c r="D258" t="s">
        <v>21</v>
      </c>
      <c r="E258" s="1">
        <v>45750</v>
      </c>
      <c r="F258" s="1">
        <v>45774</v>
      </c>
      <c r="H258" t="s">
        <v>24</v>
      </c>
      <c r="I258" t="s">
        <v>28</v>
      </c>
      <c r="J258" t="b">
        <v>0</v>
      </c>
      <c r="K258">
        <v>0</v>
      </c>
      <c r="L258">
        <v>4</v>
      </c>
    </row>
    <row r="259" spans="1:12" x14ac:dyDescent="0.25">
      <c r="A259" t="s">
        <v>317</v>
      </c>
      <c r="B259" t="s">
        <v>41</v>
      </c>
      <c r="C259" t="s">
        <v>112</v>
      </c>
      <c r="D259" t="s">
        <v>46</v>
      </c>
      <c r="E259" s="1">
        <v>45680</v>
      </c>
      <c r="F259" s="1">
        <v>45686</v>
      </c>
      <c r="G259" s="1">
        <v>45688</v>
      </c>
      <c r="H259" t="s">
        <v>32</v>
      </c>
      <c r="I259" t="s">
        <v>25</v>
      </c>
      <c r="J259" t="b">
        <v>1</v>
      </c>
      <c r="K259">
        <v>2</v>
      </c>
      <c r="L259">
        <v>8</v>
      </c>
    </row>
    <row r="260" spans="1:12" x14ac:dyDescent="0.25">
      <c r="A260" t="s">
        <v>318</v>
      </c>
      <c r="B260" t="s">
        <v>78</v>
      </c>
      <c r="C260" t="s">
        <v>52</v>
      </c>
      <c r="D260" t="s">
        <v>31</v>
      </c>
      <c r="E260" s="1">
        <v>45704</v>
      </c>
      <c r="F260" s="1">
        <v>45729</v>
      </c>
      <c r="H260" t="s">
        <v>16</v>
      </c>
      <c r="I260" t="s">
        <v>28</v>
      </c>
      <c r="J260" t="b">
        <v>1</v>
      </c>
      <c r="K260">
        <v>14</v>
      </c>
      <c r="L260">
        <v>10</v>
      </c>
    </row>
    <row r="261" spans="1:12" x14ac:dyDescent="0.25">
      <c r="A261" t="s">
        <v>319</v>
      </c>
      <c r="B261" t="s">
        <v>23</v>
      </c>
      <c r="C261" t="s">
        <v>20</v>
      </c>
      <c r="D261" t="s">
        <v>21</v>
      </c>
      <c r="E261" s="1">
        <v>45686</v>
      </c>
      <c r="F261" s="1">
        <v>45697</v>
      </c>
      <c r="G261" s="1">
        <v>45699</v>
      </c>
      <c r="H261" t="s">
        <v>32</v>
      </c>
      <c r="I261" t="s">
        <v>25</v>
      </c>
      <c r="J261" t="b">
        <v>1</v>
      </c>
      <c r="K261">
        <v>2</v>
      </c>
      <c r="L261">
        <v>3</v>
      </c>
    </row>
    <row r="262" spans="1:12" x14ac:dyDescent="0.25">
      <c r="A262" t="s">
        <v>320</v>
      </c>
      <c r="B262" t="s">
        <v>66</v>
      </c>
      <c r="C262" t="s">
        <v>107</v>
      </c>
      <c r="D262" t="s">
        <v>31</v>
      </c>
      <c r="E262" s="1">
        <v>46018</v>
      </c>
      <c r="F262" s="1">
        <v>46047</v>
      </c>
      <c r="H262" t="s">
        <v>16</v>
      </c>
      <c r="I262" t="s">
        <v>17</v>
      </c>
      <c r="J262" t="b">
        <v>1</v>
      </c>
      <c r="K262">
        <v>7</v>
      </c>
      <c r="L262">
        <v>10</v>
      </c>
    </row>
    <row r="263" spans="1:12" x14ac:dyDescent="0.25">
      <c r="A263" t="s">
        <v>321</v>
      </c>
      <c r="B263" t="s">
        <v>48</v>
      </c>
      <c r="C263" t="s">
        <v>20</v>
      </c>
      <c r="D263" t="s">
        <v>21</v>
      </c>
      <c r="E263" s="1">
        <v>46020</v>
      </c>
      <c r="F263" s="1">
        <v>46033</v>
      </c>
      <c r="H263" t="s">
        <v>39</v>
      </c>
      <c r="I263" t="s">
        <v>17</v>
      </c>
      <c r="J263" t="b">
        <v>0</v>
      </c>
      <c r="K263">
        <v>0</v>
      </c>
      <c r="L263">
        <v>10</v>
      </c>
    </row>
    <row r="264" spans="1:12" x14ac:dyDescent="0.25">
      <c r="A264" t="s">
        <v>322</v>
      </c>
      <c r="B264" t="s">
        <v>57</v>
      </c>
      <c r="C264" t="s">
        <v>38</v>
      </c>
      <c r="D264" t="s">
        <v>15</v>
      </c>
      <c r="E264" s="1">
        <v>45744</v>
      </c>
      <c r="F264" s="1">
        <v>45773</v>
      </c>
      <c r="G264" s="1">
        <v>45772</v>
      </c>
      <c r="H264" t="s">
        <v>32</v>
      </c>
      <c r="I264" t="s">
        <v>28</v>
      </c>
      <c r="J264" t="b">
        <v>0</v>
      </c>
      <c r="K264">
        <v>0</v>
      </c>
      <c r="L264">
        <v>6</v>
      </c>
    </row>
    <row r="265" spans="1:12" x14ac:dyDescent="0.25">
      <c r="A265" t="s">
        <v>323</v>
      </c>
      <c r="B265" t="s">
        <v>63</v>
      </c>
      <c r="C265" t="s">
        <v>38</v>
      </c>
      <c r="D265" t="s">
        <v>15</v>
      </c>
      <c r="E265" s="1">
        <v>45841</v>
      </c>
      <c r="F265" s="1">
        <v>45855</v>
      </c>
      <c r="G265" s="1">
        <v>45857</v>
      </c>
      <c r="H265" t="s">
        <v>32</v>
      </c>
      <c r="I265" t="s">
        <v>17</v>
      </c>
      <c r="J265" t="b">
        <v>1</v>
      </c>
      <c r="K265">
        <v>2</v>
      </c>
      <c r="L265">
        <v>9</v>
      </c>
    </row>
    <row r="266" spans="1:12" x14ac:dyDescent="0.25">
      <c r="A266" t="s">
        <v>324</v>
      </c>
      <c r="B266" t="s">
        <v>87</v>
      </c>
      <c r="C266" t="s">
        <v>61</v>
      </c>
      <c r="D266" t="s">
        <v>21</v>
      </c>
      <c r="E266" s="1">
        <v>45834</v>
      </c>
      <c r="F266" s="1">
        <v>45857</v>
      </c>
      <c r="H266" t="s">
        <v>39</v>
      </c>
      <c r="I266" t="s">
        <v>25</v>
      </c>
      <c r="J266" t="b">
        <v>0</v>
      </c>
      <c r="K266">
        <v>0</v>
      </c>
      <c r="L266">
        <v>7</v>
      </c>
    </row>
    <row r="267" spans="1:12" x14ac:dyDescent="0.25">
      <c r="A267" t="s">
        <v>325</v>
      </c>
      <c r="B267" t="s">
        <v>34</v>
      </c>
      <c r="C267" t="s">
        <v>30</v>
      </c>
      <c r="D267" t="s">
        <v>31</v>
      </c>
      <c r="E267" s="1">
        <v>45789</v>
      </c>
      <c r="F267" s="1">
        <v>45809</v>
      </c>
      <c r="H267" t="s">
        <v>24</v>
      </c>
      <c r="I267" t="s">
        <v>17</v>
      </c>
      <c r="J267" t="b">
        <v>0</v>
      </c>
      <c r="K267">
        <v>0</v>
      </c>
      <c r="L267">
        <v>4</v>
      </c>
    </row>
    <row r="268" spans="1:12" x14ac:dyDescent="0.25">
      <c r="A268" t="s">
        <v>326</v>
      </c>
      <c r="B268" t="s">
        <v>13</v>
      </c>
      <c r="C268" t="s">
        <v>42</v>
      </c>
      <c r="D268" t="s">
        <v>36</v>
      </c>
      <c r="E268" s="1">
        <v>45828</v>
      </c>
      <c r="F268" s="1">
        <v>45845</v>
      </c>
      <c r="G268" s="1">
        <v>45843</v>
      </c>
      <c r="H268" t="s">
        <v>32</v>
      </c>
      <c r="I268" t="s">
        <v>28</v>
      </c>
      <c r="J268" t="b">
        <v>0</v>
      </c>
      <c r="K268">
        <v>0</v>
      </c>
      <c r="L268">
        <v>6</v>
      </c>
    </row>
    <row r="269" spans="1:12" x14ac:dyDescent="0.25">
      <c r="A269" t="s">
        <v>327</v>
      </c>
      <c r="B269" t="s">
        <v>98</v>
      </c>
      <c r="C269" t="s">
        <v>30</v>
      </c>
      <c r="D269" t="s">
        <v>31</v>
      </c>
      <c r="E269" s="1">
        <v>45754</v>
      </c>
      <c r="F269" s="1">
        <v>45778</v>
      </c>
      <c r="G269" s="1">
        <v>45781</v>
      </c>
      <c r="H269" t="s">
        <v>32</v>
      </c>
      <c r="I269" t="s">
        <v>17</v>
      </c>
      <c r="J269" t="b">
        <v>1</v>
      </c>
      <c r="K269">
        <v>3</v>
      </c>
      <c r="L269">
        <v>2</v>
      </c>
    </row>
    <row r="270" spans="1:12" x14ac:dyDescent="0.25">
      <c r="A270" t="s">
        <v>328</v>
      </c>
      <c r="B270" t="s">
        <v>90</v>
      </c>
      <c r="C270" t="s">
        <v>38</v>
      </c>
      <c r="D270" t="s">
        <v>15</v>
      </c>
      <c r="E270" s="1">
        <v>46075</v>
      </c>
      <c r="F270" s="1">
        <v>46082</v>
      </c>
      <c r="H270" t="s">
        <v>16</v>
      </c>
      <c r="I270" t="s">
        <v>28</v>
      </c>
      <c r="J270" t="b">
        <v>1</v>
      </c>
      <c r="K270">
        <v>12</v>
      </c>
      <c r="L270">
        <v>8</v>
      </c>
    </row>
    <row r="271" spans="1:12" x14ac:dyDescent="0.25">
      <c r="A271" t="s">
        <v>329</v>
      </c>
      <c r="B271" t="s">
        <v>44</v>
      </c>
      <c r="C271" t="s">
        <v>14</v>
      </c>
      <c r="D271" t="s">
        <v>15</v>
      </c>
      <c r="E271" s="1">
        <v>45834</v>
      </c>
      <c r="F271" s="1">
        <v>45839</v>
      </c>
      <c r="H271" t="s">
        <v>39</v>
      </c>
      <c r="I271" t="s">
        <v>58</v>
      </c>
      <c r="J271" t="b">
        <v>0</v>
      </c>
      <c r="K271">
        <v>0</v>
      </c>
      <c r="L271">
        <v>7</v>
      </c>
    </row>
    <row r="272" spans="1:12" x14ac:dyDescent="0.25">
      <c r="A272" t="s">
        <v>330</v>
      </c>
      <c r="B272" t="s">
        <v>50</v>
      </c>
      <c r="C272" t="s">
        <v>112</v>
      </c>
      <c r="D272" t="s">
        <v>46</v>
      </c>
      <c r="E272" s="1">
        <v>46079</v>
      </c>
      <c r="F272" s="1">
        <v>46100</v>
      </c>
      <c r="G272" s="1">
        <v>46107</v>
      </c>
      <c r="H272" t="s">
        <v>32</v>
      </c>
      <c r="I272" t="s">
        <v>17</v>
      </c>
      <c r="J272" t="b">
        <v>1</v>
      </c>
      <c r="K272">
        <v>7</v>
      </c>
      <c r="L272">
        <v>7</v>
      </c>
    </row>
    <row r="273" spans="1:12" x14ac:dyDescent="0.25">
      <c r="A273" t="s">
        <v>331</v>
      </c>
      <c r="B273" t="s">
        <v>98</v>
      </c>
      <c r="C273" t="s">
        <v>91</v>
      </c>
      <c r="D273" t="s">
        <v>46</v>
      </c>
      <c r="E273" s="1">
        <v>45765</v>
      </c>
      <c r="F273" s="1">
        <v>45781</v>
      </c>
      <c r="H273" t="s">
        <v>16</v>
      </c>
      <c r="I273" t="s">
        <v>58</v>
      </c>
      <c r="J273" t="b">
        <v>1</v>
      </c>
      <c r="K273">
        <v>4</v>
      </c>
      <c r="L273">
        <v>2</v>
      </c>
    </row>
    <row r="274" spans="1:12" x14ac:dyDescent="0.25">
      <c r="A274" t="s">
        <v>332</v>
      </c>
      <c r="B274" t="s">
        <v>75</v>
      </c>
      <c r="C274" t="s">
        <v>27</v>
      </c>
      <c r="D274" t="s">
        <v>15</v>
      </c>
      <c r="E274" s="1">
        <v>46054</v>
      </c>
      <c r="F274" s="1">
        <v>46080</v>
      </c>
      <c r="H274" t="s">
        <v>16</v>
      </c>
      <c r="I274" t="s">
        <v>58</v>
      </c>
      <c r="J274" t="b">
        <v>1</v>
      </c>
      <c r="K274">
        <v>19</v>
      </c>
      <c r="L274">
        <v>10</v>
      </c>
    </row>
    <row r="275" spans="1:12" x14ac:dyDescent="0.25">
      <c r="A275" t="s">
        <v>333</v>
      </c>
      <c r="B275" t="s">
        <v>66</v>
      </c>
      <c r="C275" t="s">
        <v>42</v>
      </c>
      <c r="D275" t="s">
        <v>36</v>
      </c>
      <c r="E275" s="1">
        <v>45853</v>
      </c>
      <c r="F275" s="1">
        <v>45876</v>
      </c>
      <c r="G275" s="1">
        <v>45875</v>
      </c>
      <c r="H275" t="s">
        <v>32</v>
      </c>
      <c r="I275" t="s">
        <v>17</v>
      </c>
      <c r="J275" t="b">
        <v>0</v>
      </c>
      <c r="K275">
        <v>0</v>
      </c>
      <c r="L275">
        <v>7</v>
      </c>
    </row>
    <row r="276" spans="1:12" x14ac:dyDescent="0.25">
      <c r="A276" t="s">
        <v>334</v>
      </c>
      <c r="B276" t="s">
        <v>90</v>
      </c>
      <c r="C276" t="s">
        <v>20</v>
      </c>
      <c r="D276" t="s">
        <v>21</v>
      </c>
      <c r="E276" s="1">
        <v>46014</v>
      </c>
      <c r="F276" s="1">
        <v>46040</v>
      </c>
      <c r="H276" t="s">
        <v>39</v>
      </c>
      <c r="I276" t="s">
        <v>17</v>
      </c>
      <c r="J276" t="b">
        <v>0</v>
      </c>
      <c r="K276">
        <v>0</v>
      </c>
      <c r="L276">
        <v>1</v>
      </c>
    </row>
    <row r="277" spans="1:12" x14ac:dyDescent="0.25">
      <c r="A277" t="s">
        <v>335</v>
      </c>
      <c r="B277" t="s">
        <v>85</v>
      </c>
      <c r="C277" t="s">
        <v>61</v>
      </c>
      <c r="D277" t="s">
        <v>21</v>
      </c>
      <c r="E277" s="1">
        <v>45826</v>
      </c>
      <c r="F277" s="1">
        <v>45832</v>
      </c>
      <c r="H277" t="s">
        <v>16</v>
      </c>
      <c r="I277" t="s">
        <v>17</v>
      </c>
      <c r="J277" t="b">
        <v>1</v>
      </c>
      <c r="K277">
        <v>2</v>
      </c>
      <c r="L277">
        <v>2</v>
      </c>
    </row>
    <row r="278" spans="1:12" x14ac:dyDescent="0.25">
      <c r="A278" t="s">
        <v>336</v>
      </c>
      <c r="B278" t="s">
        <v>68</v>
      </c>
      <c r="C278" t="s">
        <v>42</v>
      </c>
      <c r="D278" t="s">
        <v>36</v>
      </c>
      <c r="E278" s="1">
        <v>46099</v>
      </c>
      <c r="F278" s="1">
        <v>46121</v>
      </c>
      <c r="H278" t="s">
        <v>24</v>
      </c>
      <c r="I278" t="s">
        <v>17</v>
      </c>
      <c r="J278" t="b">
        <v>0</v>
      </c>
      <c r="K278">
        <v>0</v>
      </c>
      <c r="L278">
        <v>9</v>
      </c>
    </row>
    <row r="279" spans="1:12" x14ac:dyDescent="0.25">
      <c r="A279" t="s">
        <v>337</v>
      </c>
      <c r="B279" t="s">
        <v>23</v>
      </c>
      <c r="C279" t="s">
        <v>52</v>
      </c>
      <c r="D279" t="s">
        <v>31</v>
      </c>
      <c r="E279" s="1">
        <v>45715</v>
      </c>
      <c r="F279" s="1">
        <v>45721</v>
      </c>
      <c r="G279" s="1">
        <v>45727</v>
      </c>
      <c r="H279" t="s">
        <v>32</v>
      </c>
      <c r="I279" t="s">
        <v>17</v>
      </c>
      <c r="J279" t="b">
        <v>1</v>
      </c>
      <c r="K279">
        <v>6</v>
      </c>
      <c r="L279">
        <v>2</v>
      </c>
    </row>
    <row r="280" spans="1:12" x14ac:dyDescent="0.25">
      <c r="A280" t="s">
        <v>338</v>
      </c>
      <c r="B280" t="s">
        <v>75</v>
      </c>
      <c r="C280" t="s">
        <v>38</v>
      </c>
      <c r="D280" t="s">
        <v>15</v>
      </c>
      <c r="E280" s="1">
        <v>45986</v>
      </c>
      <c r="F280" s="1">
        <v>46012</v>
      </c>
      <c r="G280" s="1">
        <v>46010</v>
      </c>
      <c r="H280" t="s">
        <v>32</v>
      </c>
      <c r="I280" t="s">
        <v>25</v>
      </c>
      <c r="J280" t="b">
        <v>0</v>
      </c>
      <c r="K280">
        <v>0</v>
      </c>
      <c r="L280">
        <v>8</v>
      </c>
    </row>
    <row r="281" spans="1:12" x14ac:dyDescent="0.25">
      <c r="A281" t="s">
        <v>339</v>
      </c>
      <c r="B281" t="s">
        <v>63</v>
      </c>
      <c r="C281" t="s">
        <v>76</v>
      </c>
      <c r="D281" t="s">
        <v>36</v>
      </c>
      <c r="E281" s="1">
        <v>45918</v>
      </c>
      <c r="F281" s="1">
        <v>45925</v>
      </c>
      <c r="G281" s="1">
        <v>45929</v>
      </c>
      <c r="H281" t="s">
        <v>32</v>
      </c>
      <c r="I281" t="s">
        <v>17</v>
      </c>
      <c r="J281" t="b">
        <v>1</v>
      </c>
      <c r="K281">
        <v>4</v>
      </c>
      <c r="L281">
        <v>5</v>
      </c>
    </row>
    <row r="282" spans="1:12" x14ac:dyDescent="0.25">
      <c r="A282" t="s">
        <v>340</v>
      </c>
      <c r="B282" t="s">
        <v>50</v>
      </c>
      <c r="C282" t="s">
        <v>35</v>
      </c>
      <c r="D282" t="s">
        <v>36</v>
      </c>
      <c r="E282" s="1">
        <v>45919</v>
      </c>
      <c r="F282" s="1">
        <v>45934</v>
      </c>
      <c r="H282" t="s">
        <v>24</v>
      </c>
      <c r="I282" t="s">
        <v>28</v>
      </c>
      <c r="J282" t="b">
        <v>0</v>
      </c>
      <c r="K282">
        <v>0</v>
      </c>
      <c r="L282">
        <v>2</v>
      </c>
    </row>
    <row r="283" spans="1:12" x14ac:dyDescent="0.25">
      <c r="A283" t="s">
        <v>341</v>
      </c>
      <c r="B283" t="s">
        <v>85</v>
      </c>
      <c r="C283" t="s">
        <v>107</v>
      </c>
      <c r="D283" t="s">
        <v>31</v>
      </c>
      <c r="E283" s="1">
        <v>45742</v>
      </c>
      <c r="F283" s="1">
        <v>45758</v>
      </c>
      <c r="G283" s="1">
        <v>45759</v>
      </c>
      <c r="H283" t="s">
        <v>32</v>
      </c>
      <c r="I283" t="s">
        <v>28</v>
      </c>
      <c r="J283" t="b">
        <v>1</v>
      </c>
      <c r="K283">
        <v>1</v>
      </c>
      <c r="L283">
        <v>6</v>
      </c>
    </row>
    <row r="284" spans="1:12" x14ac:dyDescent="0.25">
      <c r="A284" t="s">
        <v>342</v>
      </c>
      <c r="B284" t="s">
        <v>57</v>
      </c>
      <c r="C284" t="s">
        <v>54</v>
      </c>
      <c r="D284" t="s">
        <v>21</v>
      </c>
      <c r="E284" s="1">
        <v>46022</v>
      </c>
      <c r="F284" s="1">
        <v>46036</v>
      </c>
      <c r="G284" s="1">
        <v>46043</v>
      </c>
      <c r="H284" t="s">
        <v>32</v>
      </c>
      <c r="I284" t="s">
        <v>25</v>
      </c>
      <c r="J284" t="b">
        <v>1</v>
      </c>
      <c r="K284">
        <v>7</v>
      </c>
      <c r="L284">
        <v>1</v>
      </c>
    </row>
    <row r="285" spans="1:12" x14ac:dyDescent="0.25">
      <c r="A285" t="s">
        <v>343</v>
      </c>
      <c r="B285" t="s">
        <v>98</v>
      </c>
      <c r="C285" t="s">
        <v>45</v>
      </c>
      <c r="D285" t="s">
        <v>46</v>
      </c>
      <c r="E285" s="1">
        <v>45943</v>
      </c>
      <c r="F285" s="1">
        <v>45955</v>
      </c>
      <c r="H285" t="s">
        <v>16</v>
      </c>
      <c r="I285" t="s">
        <v>17</v>
      </c>
      <c r="J285" t="b">
        <v>1</v>
      </c>
      <c r="K285">
        <v>9</v>
      </c>
      <c r="L285">
        <v>1</v>
      </c>
    </row>
    <row r="286" spans="1:12" x14ac:dyDescent="0.25">
      <c r="A286" t="s">
        <v>344</v>
      </c>
      <c r="B286" t="s">
        <v>48</v>
      </c>
      <c r="C286" t="s">
        <v>54</v>
      </c>
      <c r="D286" t="s">
        <v>21</v>
      </c>
      <c r="E286" s="1">
        <v>46105</v>
      </c>
      <c r="F286" s="1">
        <v>46120</v>
      </c>
      <c r="G286" s="1">
        <v>46127</v>
      </c>
      <c r="H286" t="s">
        <v>32</v>
      </c>
      <c r="I286" t="s">
        <v>58</v>
      </c>
      <c r="J286" t="b">
        <v>1</v>
      </c>
      <c r="K286">
        <v>7</v>
      </c>
      <c r="L286">
        <v>5</v>
      </c>
    </row>
    <row r="287" spans="1:12" x14ac:dyDescent="0.25">
      <c r="A287" t="s">
        <v>345</v>
      </c>
      <c r="B287" t="s">
        <v>19</v>
      </c>
      <c r="C287" t="s">
        <v>52</v>
      </c>
      <c r="D287" t="s">
        <v>31</v>
      </c>
      <c r="E287" s="1">
        <v>46064</v>
      </c>
      <c r="F287" s="1">
        <v>46077</v>
      </c>
      <c r="G287" s="1">
        <v>46075</v>
      </c>
      <c r="H287" t="s">
        <v>32</v>
      </c>
      <c r="I287" t="s">
        <v>17</v>
      </c>
      <c r="J287" t="b">
        <v>0</v>
      </c>
      <c r="K287">
        <v>0</v>
      </c>
      <c r="L287">
        <v>1</v>
      </c>
    </row>
    <row r="288" spans="1:12" x14ac:dyDescent="0.25">
      <c r="A288" t="s">
        <v>346</v>
      </c>
      <c r="B288" t="s">
        <v>60</v>
      </c>
      <c r="C288" t="s">
        <v>30</v>
      </c>
      <c r="D288" t="s">
        <v>31</v>
      </c>
      <c r="E288" s="1">
        <v>45684</v>
      </c>
      <c r="F288" s="1">
        <v>45687</v>
      </c>
      <c r="G288" s="1">
        <v>45693</v>
      </c>
      <c r="H288" t="s">
        <v>32</v>
      </c>
      <c r="I288" t="s">
        <v>25</v>
      </c>
      <c r="J288" t="b">
        <v>1</v>
      </c>
      <c r="K288">
        <v>6</v>
      </c>
      <c r="L288">
        <v>10</v>
      </c>
    </row>
    <row r="289" spans="1:12" x14ac:dyDescent="0.25">
      <c r="A289" t="s">
        <v>347</v>
      </c>
      <c r="B289" t="s">
        <v>98</v>
      </c>
      <c r="C289" t="s">
        <v>107</v>
      </c>
      <c r="D289" t="s">
        <v>31</v>
      </c>
      <c r="E289" s="1">
        <v>45913</v>
      </c>
      <c r="F289" s="1">
        <v>45935</v>
      </c>
      <c r="H289" t="s">
        <v>39</v>
      </c>
      <c r="I289" t="s">
        <v>17</v>
      </c>
      <c r="J289" t="b">
        <v>0</v>
      </c>
      <c r="K289">
        <v>0</v>
      </c>
      <c r="L289">
        <v>2</v>
      </c>
    </row>
    <row r="290" spans="1:12" x14ac:dyDescent="0.25">
      <c r="A290" t="s">
        <v>348</v>
      </c>
      <c r="B290" t="s">
        <v>90</v>
      </c>
      <c r="C290" t="s">
        <v>42</v>
      </c>
      <c r="D290" t="s">
        <v>36</v>
      </c>
      <c r="E290" s="1">
        <v>45787</v>
      </c>
      <c r="F290" s="1">
        <v>45798</v>
      </c>
      <c r="G290" s="1">
        <v>45803</v>
      </c>
      <c r="H290" t="s">
        <v>32</v>
      </c>
      <c r="I290" t="s">
        <v>17</v>
      </c>
      <c r="J290" t="b">
        <v>1</v>
      </c>
      <c r="K290">
        <v>5</v>
      </c>
      <c r="L290">
        <v>2</v>
      </c>
    </row>
    <row r="291" spans="1:12" x14ac:dyDescent="0.25">
      <c r="A291" t="s">
        <v>349</v>
      </c>
      <c r="B291" t="s">
        <v>13</v>
      </c>
      <c r="C291" t="s">
        <v>54</v>
      </c>
      <c r="D291" t="s">
        <v>21</v>
      </c>
      <c r="E291" s="1">
        <v>45961</v>
      </c>
      <c r="F291" s="1">
        <v>45987</v>
      </c>
      <c r="H291" t="s">
        <v>39</v>
      </c>
      <c r="I291" t="s">
        <v>28</v>
      </c>
      <c r="J291" t="b">
        <v>0</v>
      </c>
      <c r="K291">
        <v>0</v>
      </c>
      <c r="L291">
        <v>2</v>
      </c>
    </row>
    <row r="292" spans="1:12" x14ac:dyDescent="0.25">
      <c r="A292" t="s">
        <v>350</v>
      </c>
      <c r="B292" t="s">
        <v>68</v>
      </c>
      <c r="C292" t="s">
        <v>14</v>
      </c>
      <c r="D292" t="s">
        <v>15</v>
      </c>
      <c r="E292" s="1">
        <v>46036</v>
      </c>
      <c r="F292" s="1">
        <v>46048</v>
      </c>
      <c r="H292" t="s">
        <v>39</v>
      </c>
      <c r="I292" t="s">
        <v>25</v>
      </c>
      <c r="J292" t="b">
        <v>0</v>
      </c>
      <c r="K292">
        <v>0</v>
      </c>
      <c r="L292">
        <v>8</v>
      </c>
    </row>
    <row r="293" spans="1:12" x14ac:dyDescent="0.25">
      <c r="A293" t="s">
        <v>351</v>
      </c>
      <c r="B293" t="s">
        <v>19</v>
      </c>
      <c r="C293" t="s">
        <v>107</v>
      </c>
      <c r="D293" t="s">
        <v>31</v>
      </c>
      <c r="E293" s="1">
        <v>45832</v>
      </c>
      <c r="F293" s="1">
        <v>45849</v>
      </c>
      <c r="H293" t="s">
        <v>16</v>
      </c>
      <c r="I293" t="s">
        <v>28</v>
      </c>
      <c r="J293" t="b">
        <v>1</v>
      </c>
      <c r="K293">
        <v>19</v>
      </c>
      <c r="L293">
        <v>4</v>
      </c>
    </row>
    <row r="294" spans="1:12" x14ac:dyDescent="0.25">
      <c r="A294" t="s">
        <v>352</v>
      </c>
      <c r="B294" t="s">
        <v>34</v>
      </c>
      <c r="C294" t="s">
        <v>112</v>
      </c>
      <c r="D294" t="s">
        <v>46</v>
      </c>
      <c r="E294" s="1">
        <v>45863</v>
      </c>
      <c r="F294" s="1">
        <v>45878</v>
      </c>
      <c r="H294" t="s">
        <v>24</v>
      </c>
      <c r="I294" t="s">
        <v>25</v>
      </c>
      <c r="J294" t="b">
        <v>0</v>
      </c>
      <c r="K294">
        <v>0</v>
      </c>
      <c r="L294">
        <v>8</v>
      </c>
    </row>
    <row r="295" spans="1:12" x14ac:dyDescent="0.25">
      <c r="A295" t="s">
        <v>353</v>
      </c>
      <c r="B295" t="s">
        <v>41</v>
      </c>
      <c r="C295" t="s">
        <v>61</v>
      </c>
      <c r="D295" t="s">
        <v>21</v>
      </c>
      <c r="E295" s="1">
        <v>45698</v>
      </c>
      <c r="F295" s="1">
        <v>45720</v>
      </c>
      <c r="G295" s="1">
        <v>45718</v>
      </c>
      <c r="H295" t="s">
        <v>32</v>
      </c>
      <c r="I295" t="s">
        <v>28</v>
      </c>
      <c r="J295" t="b">
        <v>0</v>
      </c>
      <c r="K295">
        <v>0</v>
      </c>
      <c r="L295">
        <v>4</v>
      </c>
    </row>
    <row r="296" spans="1:12" x14ac:dyDescent="0.25">
      <c r="A296" t="s">
        <v>354</v>
      </c>
      <c r="B296" t="s">
        <v>44</v>
      </c>
      <c r="C296" t="s">
        <v>91</v>
      </c>
      <c r="D296" t="s">
        <v>46</v>
      </c>
      <c r="E296" s="1">
        <v>45933</v>
      </c>
      <c r="F296" s="1">
        <v>45938</v>
      </c>
      <c r="H296" t="s">
        <v>39</v>
      </c>
      <c r="I296" t="s">
        <v>17</v>
      </c>
      <c r="J296" t="b">
        <v>0</v>
      </c>
      <c r="K296">
        <v>0</v>
      </c>
      <c r="L296">
        <v>8</v>
      </c>
    </row>
    <row r="297" spans="1:12" x14ac:dyDescent="0.25">
      <c r="A297" t="s">
        <v>355</v>
      </c>
      <c r="B297" t="s">
        <v>90</v>
      </c>
      <c r="C297" t="s">
        <v>76</v>
      </c>
      <c r="D297" t="s">
        <v>36</v>
      </c>
      <c r="E297" s="1">
        <v>46026</v>
      </c>
      <c r="F297" s="1">
        <v>46034</v>
      </c>
      <c r="G297" s="1">
        <v>46035</v>
      </c>
      <c r="H297" t="s">
        <v>32</v>
      </c>
      <c r="I297" t="s">
        <v>28</v>
      </c>
      <c r="J297" t="b">
        <v>1</v>
      </c>
      <c r="K297">
        <v>1</v>
      </c>
      <c r="L297">
        <v>3</v>
      </c>
    </row>
    <row r="298" spans="1:12" x14ac:dyDescent="0.25">
      <c r="A298" t="s">
        <v>356</v>
      </c>
      <c r="B298" t="s">
        <v>57</v>
      </c>
      <c r="C298" t="s">
        <v>20</v>
      </c>
      <c r="D298" t="s">
        <v>21</v>
      </c>
      <c r="E298" s="1">
        <v>45911</v>
      </c>
      <c r="F298" s="1">
        <v>45915</v>
      </c>
      <c r="H298" t="s">
        <v>39</v>
      </c>
      <c r="I298" t="s">
        <v>25</v>
      </c>
      <c r="J298" t="b">
        <v>0</v>
      </c>
      <c r="K298">
        <v>0</v>
      </c>
      <c r="L298">
        <v>1</v>
      </c>
    </row>
    <row r="299" spans="1:12" x14ac:dyDescent="0.25">
      <c r="A299" t="s">
        <v>357</v>
      </c>
      <c r="B299" t="s">
        <v>41</v>
      </c>
      <c r="C299" t="s">
        <v>42</v>
      </c>
      <c r="D299" t="s">
        <v>36</v>
      </c>
      <c r="E299" s="1">
        <v>45913</v>
      </c>
      <c r="F299" s="1">
        <v>45925</v>
      </c>
      <c r="G299" s="1">
        <v>45932</v>
      </c>
      <c r="H299" t="s">
        <v>32</v>
      </c>
      <c r="I299" t="s">
        <v>58</v>
      </c>
      <c r="J299" t="b">
        <v>1</v>
      </c>
      <c r="K299">
        <v>7</v>
      </c>
      <c r="L299">
        <v>2</v>
      </c>
    </row>
    <row r="300" spans="1:12" x14ac:dyDescent="0.25">
      <c r="A300" t="s">
        <v>358</v>
      </c>
      <c r="B300" t="s">
        <v>19</v>
      </c>
      <c r="C300" t="s">
        <v>45</v>
      </c>
      <c r="D300" t="s">
        <v>46</v>
      </c>
      <c r="E300" s="1">
        <v>46018</v>
      </c>
      <c r="F300" s="1">
        <v>46044</v>
      </c>
      <c r="G300" s="1">
        <v>46048</v>
      </c>
      <c r="H300" t="s">
        <v>32</v>
      </c>
      <c r="I300" t="s">
        <v>17</v>
      </c>
      <c r="J300" t="b">
        <v>1</v>
      </c>
      <c r="K300">
        <v>4</v>
      </c>
      <c r="L300">
        <v>6</v>
      </c>
    </row>
    <row r="301" spans="1:12" x14ac:dyDescent="0.25">
      <c r="A301" t="s">
        <v>359</v>
      </c>
      <c r="B301" t="s">
        <v>41</v>
      </c>
      <c r="C301" t="s">
        <v>52</v>
      </c>
      <c r="D301" t="s">
        <v>31</v>
      </c>
      <c r="E301" s="1">
        <v>45698</v>
      </c>
      <c r="F301" s="1">
        <v>45713</v>
      </c>
      <c r="G301" s="1">
        <v>45713</v>
      </c>
      <c r="H301" t="s">
        <v>32</v>
      </c>
      <c r="I301" t="s">
        <v>25</v>
      </c>
      <c r="J301" t="b">
        <v>0</v>
      </c>
      <c r="K301">
        <v>0</v>
      </c>
      <c r="L301">
        <v>9</v>
      </c>
    </row>
    <row r="302" spans="1:12" x14ac:dyDescent="0.25">
      <c r="A302" t="s">
        <v>360</v>
      </c>
      <c r="B302" t="s">
        <v>75</v>
      </c>
      <c r="C302" t="s">
        <v>27</v>
      </c>
      <c r="D302" t="s">
        <v>15</v>
      </c>
      <c r="E302" s="1">
        <v>46004</v>
      </c>
      <c r="F302" s="1">
        <v>46010</v>
      </c>
      <c r="G302" s="1">
        <v>46013</v>
      </c>
      <c r="H302" t="s">
        <v>32</v>
      </c>
      <c r="I302" t="s">
        <v>25</v>
      </c>
      <c r="J302" t="b">
        <v>1</v>
      </c>
      <c r="K302">
        <v>3</v>
      </c>
      <c r="L302">
        <v>5</v>
      </c>
    </row>
    <row r="303" spans="1:12" x14ac:dyDescent="0.25">
      <c r="A303" t="s">
        <v>361</v>
      </c>
      <c r="B303" t="s">
        <v>66</v>
      </c>
      <c r="C303" t="s">
        <v>27</v>
      </c>
      <c r="D303" t="s">
        <v>15</v>
      </c>
      <c r="E303" s="1">
        <v>45960</v>
      </c>
      <c r="F303" s="1">
        <v>45967</v>
      </c>
      <c r="H303" t="s">
        <v>24</v>
      </c>
      <c r="I303" t="s">
        <v>28</v>
      </c>
      <c r="J303" t="b">
        <v>0</v>
      </c>
      <c r="K303">
        <v>0</v>
      </c>
      <c r="L303">
        <v>2</v>
      </c>
    </row>
    <row r="304" spans="1:12" x14ac:dyDescent="0.25">
      <c r="A304" t="s">
        <v>362</v>
      </c>
      <c r="B304" t="s">
        <v>66</v>
      </c>
      <c r="C304" t="s">
        <v>27</v>
      </c>
      <c r="D304" t="s">
        <v>15</v>
      </c>
      <c r="E304" s="1">
        <v>45979</v>
      </c>
      <c r="F304" s="1">
        <v>46007</v>
      </c>
      <c r="H304" t="s">
        <v>24</v>
      </c>
      <c r="I304" t="s">
        <v>28</v>
      </c>
      <c r="J304" t="b">
        <v>0</v>
      </c>
      <c r="K304">
        <v>0</v>
      </c>
      <c r="L304">
        <v>10</v>
      </c>
    </row>
    <row r="305" spans="1:12" x14ac:dyDescent="0.25">
      <c r="A305" t="s">
        <v>363</v>
      </c>
      <c r="B305" t="s">
        <v>19</v>
      </c>
      <c r="C305" t="s">
        <v>38</v>
      </c>
      <c r="D305" t="s">
        <v>15</v>
      </c>
      <c r="E305" s="1">
        <v>45891</v>
      </c>
      <c r="F305" s="1">
        <v>45894</v>
      </c>
      <c r="G305" s="1">
        <v>45897</v>
      </c>
      <c r="H305" t="s">
        <v>32</v>
      </c>
      <c r="I305" t="s">
        <v>28</v>
      </c>
      <c r="J305" t="b">
        <v>1</v>
      </c>
      <c r="K305">
        <v>3</v>
      </c>
      <c r="L305">
        <v>2</v>
      </c>
    </row>
    <row r="306" spans="1:12" x14ac:dyDescent="0.25">
      <c r="A306" t="s">
        <v>364</v>
      </c>
      <c r="B306" t="s">
        <v>19</v>
      </c>
      <c r="C306" t="s">
        <v>107</v>
      </c>
      <c r="D306" t="s">
        <v>31</v>
      </c>
      <c r="E306" s="1">
        <v>45873</v>
      </c>
      <c r="F306" s="1">
        <v>45900</v>
      </c>
      <c r="G306" s="1">
        <v>45902</v>
      </c>
      <c r="H306" t="s">
        <v>32</v>
      </c>
      <c r="I306" t="s">
        <v>25</v>
      </c>
      <c r="J306" t="b">
        <v>1</v>
      </c>
      <c r="K306">
        <v>2</v>
      </c>
      <c r="L306">
        <v>5</v>
      </c>
    </row>
    <row r="307" spans="1:12" x14ac:dyDescent="0.25">
      <c r="A307" t="s">
        <v>365</v>
      </c>
      <c r="B307" t="s">
        <v>87</v>
      </c>
      <c r="C307" t="s">
        <v>107</v>
      </c>
      <c r="D307" t="s">
        <v>31</v>
      </c>
      <c r="E307" s="1">
        <v>45944</v>
      </c>
      <c r="F307" s="1">
        <v>45963</v>
      </c>
      <c r="G307" s="1">
        <v>45961</v>
      </c>
      <c r="H307" t="s">
        <v>32</v>
      </c>
      <c r="I307" t="s">
        <v>17</v>
      </c>
      <c r="J307" t="b">
        <v>0</v>
      </c>
      <c r="K307">
        <v>0</v>
      </c>
      <c r="L307">
        <v>1</v>
      </c>
    </row>
    <row r="308" spans="1:12" x14ac:dyDescent="0.25">
      <c r="A308" t="s">
        <v>366</v>
      </c>
      <c r="B308" t="s">
        <v>60</v>
      </c>
      <c r="C308" t="s">
        <v>91</v>
      </c>
      <c r="D308" t="s">
        <v>46</v>
      </c>
      <c r="E308" s="1">
        <v>45872</v>
      </c>
      <c r="F308" s="1">
        <v>45894</v>
      </c>
      <c r="H308" t="s">
        <v>16</v>
      </c>
      <c r="I308" t="s">
        <v>17</v>
      </c>
      <c r="J308" t="b">
        <v>1</v>
      </c>
      <c r="K308">
        <v>2</v>
      </c>
      <c r="L308">
        <v>10</v>
      </c>
    </row>
    <row r="309" spans="1:12" x14ac:dyDescent="0.25">
      <c r="A309" t="s">
        <v>367</v>
      </c>
      <c r="B309" t="s">
        <v>70</v>
      </c>
      <c r="C309" t="s">
        <v>61</v>
      </c>
      <c r="D309" t="s">
        <v>21</v>
      </c>
      <c r="E309" s="1">
        <v>45850</v>
      </c>
      <c r="F309" s="1">
        <v>45865</v>
      </c>
      <c r="H309" t="s">
        <v>16</v>
      </c>
      <c r="I309" t="s">
        <v>17</v>
      </c>
      <c r="J309" t="b">
        <v>1</v>
      </c>
      <c r="K309">
        <v>13</v>
      </c>
      <c r="L309">
        <v>9</v>
      </c>
    </row>
    <row r="310" spans="1:12" x14ac:dyDescent="0.25">
      <c r="A310" t="s">
        <v>368</v>
      </c>
      <c r="B310" t="s">
        <v>23</v>
      </c>
      <c r="C310" t="s">
        <v>54</v>
      </c>
      <c r="D310" t="s">
        <v>21</v>
      </c>
      <c r="E310" s="1">
        <v>45956</v>
      </c>
      <c r="F310" s="1">
        <v>45980</v>
      </c>
      <c r="G310" s="1">
        <v>45984</v>
      </c>
      <c r="H310" t="s">
        <v>32</v>
      </c>
      <c r="I310" t="s">
        <v>17</v>
      </c>
      <c r="J310" t="b">
        <v>1</v>
      </c>
      <c r="K310">
        <v>4</v>
      </c>
      <c r="L310">
        <v>9</v>
      </c>
    </row>
    <row r="311" spans="1:12" x14ac:dyDescent="0.25">
      <c r="A311" t="s">
        <v>369</v>
      </c>
      <c r="B311" t="s">
        <v>68</v>
      </c>
      <c r="C311" t="s">
        <v>112</v>
      </c>
      <c r="D311" t="s">
        <v>46</v>
      </c>
      <c r="E311" s="1">
        <v>46023</v>
      </c>
      <c r="F311" s="1">
        <v>46035</v>
      </c>
      <c r="G311" s="1">
        <v>46038</v>
      </c>
      <c r="H311" t="s">
        <v>32</v>
      </c>
      <c r="I311" t="s">
        <v>28</v>
      </c>
      <c r="J311" t="b">
        <v>1</v>
      </c>
      <c r="K311">
        <v>3</v>
      </c>
      <c r="L311">
        <v>10</v>
      </c>
    </row>
    <row r="312" spans="1:12" x14ac:dyDescent="0.25">
      <c r="A312" t="s">
        <v>370</v>
      </c>
      <c r="B312" t="s">
        <v>85</v>
      </c>
      <c r="C312" t="s">
        <v>76</v>
      </c>
      <c r="D312" t="s">
        <v>36</v>
      </c>
      <c r="E312" s="1">
        <v>45993</v>
      </c>
      <c r="F312" s="1">
        <v>46005</v>
      </c>
      <c r="G312" s="1">
        <v>46004</v>
      </c>
      <c r="H312" t="s">
        <v>32</v>
      </c>
      <c r="I312" t="s">
        <v>17</v>
      </c>
      <c r="J312" t="b">
        <v>0</v>
      </c>
      <c r="K312">
        <v>0</v>
      </c>
      <c r="L312">
        <v>8</v>
      </c>
    </row>
    <row r="313" spans="1:12" x14ac:dyDescent="0.25">
      <c r="A313" t="s">
        <v>371</v>
      </c>
      <c r="B313" t="s">
        <v>57</v>
      </c>
      <c r="C313" t="s">
        <v>42</v>
      </c>
      <c r="D313" t="s">
        <v>36</v>
      </c>
      <c r="E313" s="1">
        <v>46060</v>
      </c>
      <c r="F313" s="1">
        <v>46082</v>
      </c>
      <c r="H313" t="s">
        <v>16</v>
      </c>
      <c r="I313" t="s">
        <v>17</v>
      </c>
      <c r="J313" t="b">
        <v>1</v>
      </c>
      <c r="K313">
        <v>6</v>
      </c>
      <c r="L313">
        <v>2</v>
      </c>
    </row>
    <row r="314" spans="1:12" x14ac:dyDescent="0.25">
      <c r="A314" t="s">
        <v>372</v>
      </c>
      <c r="B314" t="s">
        <v>60</v>
      </c>
      <c r="C314" t="s">
        <v>91</v>
      </c>
      <c r="D314" t="s">
        <v>46</v>
      </c>
      <c r="E314" s="1">
        <v>45746</v>
      </c>
      <c r="F314" s="1">
        <v>45759</v>
      </c>
      <c r="G314" s="1">
        <v>45759</v>
      </c>
      <c r="H314" t="s">
        <v>32</v>
      </c>
      <c r="I314" t="s">
        <v>25</v>
      </c>
      <c r="J314" t="b">
        <v>0</v>
      </c>
      <c r="K314">
        <v>0</v>
      </c>
      <c r="L314">
        <v>2</v>
      </c>
    </row>
    <row r="315" spans="1:12" x14ac:dyDescent="0.25">
      <c r="A315" t="s">
        <v>373</v>
      </c>
      <c r="B315" t="s">
        <v>66</v>
      </c>
      <c r="C315" t="s">
        <v>30</v>
      </c>
      <c r="D315" t="s">
        <v>31</v>
      </c>
      <c r="E315" s="1">
        <v>45976</v>
      </c>
      <c r="F315" s="1">
        <v>46001</v>
      </c>
      <c r="H315" t="s">
        <v>16</v>
      </c>
      <c r="I315" t="s">
        <v>25</v>
      </c>
      <c r="J315" t="b">
        <v>1</v>
      </c>
      <c r="K315">
        <v>4</v>
      </c>
      <c r="L315">
        <v>6</v>
      </c>
    </row>
    <row r="316" spans="1:12" x14ac:dyDescent="0.25">
      <c r="A316" t="s">
        <v>374</v>
      </c>
      <c r="B316" t="s">
        <v>48</v>
      </c>
      <c r="C316" t="s">
        <v>38</v>
      </c>
      <c r="D316" t="s">
        <v>15</v>
      </c>
      <c r="E316" s="1">
        <v>45781</v>
      </c>
      <c r="F316" s="1">
        <v>45790</v>
      </c>
      <c r="G316" s="1">
        <v>45791</v>
      </c>
      <c r="H316" t="s">
        <v>32</v>
      </c>
      <c r="I316" t="s">
        <v>17</v>
      </c>
      <c r="J316" t="b">
        <v>1</v>
      </c>
      <c r="K316">
        <v>1</v>
      </c>
      <c r="L316">
        <v>4</v>
      </c>
    </row>
    <row r="317" spans="1:12" x14ac:dyDescent="0.25">
      <c r="A317" t="s">
        <v>375</v>
      </c>
      <c r="B317" t="s">
        <v>41</v>
      </c>
      <c r="C317" t="s">
        <v>42</v>
      </c>
      <c r="D317" t="s">
        <v>36</v>
      </c>
      <c r="E317" s="1">
        <v>45689</v>
      </c>
      <c r="F317" s="1">
        <v>45703</v>
      </c>
      <c r="H317" t="s">
        <v>24</v>
      </c>
      <c r="I317" t="s">
        <v>17</v>
      </c>
      <c r="J317" t="b">
        <v>0</v>
      </c>
      <c r="K317">
        <v>0</v>
      </c>
      <c r="L317">
        <v>2</v>
      </c>
    </row>
    <row r="318" spans="1:12" x14ac:dyDescent="0.25">
      <c r="A318" t="s">
        <v>376</v>
      </c>
      <c r="B318" t="s">
        <v>44</v>
      </c>
      <c r="C318" t="s">
        <v>20</v>
      </c>
      <c r="D318" t="s">
        <v>21</v>
      </c>
      <c r="E318" s="1">
        <v>45750</v>
      </c>
      <c r="F318" s="1">
        <v>45765</v>
      </c>
      <c r="H318" t="s">
        <v>16</v>
      </c>
      <c r="I318" t="s">
        <v>17</v>
      </c>
      <c r="J318" t="b">
        <v>1</v>
      </c>
      <c r="K318">
        <v>9</v>
      </c>
      <c r="L318">
        <v>2</v>
      </c>
    </row>
    <row r="319" spans="1:12" x14ac:dyDescent="0.25">
      <c r="A319" t="s">
        <v>377</v>
      </c>
      <c r="B319" t="s">
        <v>66</v>
      </c>
      <c r="C319" t="s">
        <v>61</v>
      </c>
      <c r="D319" t="s">
        <v>21</v>
      </c>
      <c r="E319" s="1">
        <v>45762</v>
      </c>
      <c r="F319" s="1">
        <v>45777</v>
      </c>
      <c r="G319" s="1">
        <v>45778</v>
      </c>
      <c r="H319" t="s">
        <v>32</v>
      </c>
      <c r="I319" t="s">
        <v>28</v>
      </c>
      <c r="J319" t="b">
        <v>1</v>
      </c>
      <c r="K319">
        <v>1</v>
      </c>
      <c r="L319">
        <v>2</v>
      </c>
    </row>
    <row r="320" spans="1:12" x14ac:dyDescent="0.25">
      <c r="A320" t="s">
        <v>378</v>
      </c>
      <c r="B320" t="s">
        <v>75</v>
      </c>
      <c r="C320" t="s">
        <v>42</v>
      </c>
      <c r="D320" t="s">
        <v>36</v>
      </c>
      <c r="E320" s="1">
        <v>45740</v>
      </c>
      <c r="F320" s="1">
        <v>45750</v>
      </c>
      <c r="H320" t="s">
        <v>16</v>
      </c>
      <c r="I320" t="s">
        <v>28</v>
      </c>
      <c r="J320" t="b">
        <v>1</v>
      </c>
      <c r="K320">
        <v>7</v>
      </c>
      <c r="L320">
        <v>2</v>
      </c>
    </row>
    <row r="321" spans="1:12" x14ac:dyDescent="0.25">
      <c r="A321" t="s">
        <v>379</v>
      </c>
      <c r="B321" t="s">
        <v>48</v>
      </c>
      <c r="C321" t="s">
        <v>14</v>
      </c>
      <c r="D321" t="s">
        <v>15</v>
      </c>
      <c r="E321" s="1">
        <v>46063</v>
      </c>
      <c r="F321" s="1">
        <v>46072</v>
      </c>
      <c r="G321" s="1">
        <v>46075</v>
      </c>
      <c r="H321" t="s">
        <v>32</v>
      </c>
      <c r="I321" t="s">
        <v>17</v>
      </c>
      <c r="J321" t="b">
        <v>1</v>
      </c>
      <c r="K321">
        <v>3</v>
      </c>
      <c r="L321">
        <v>9</v>
      </c>
    </row>
    <row r="322" spans="1:12" x14ac:dyDescent="0.25">
      <c r="A322" t="s">
        <v>380</v>
      </c>
      <c r="B322" t="s">
        <v>68</v>
      </c>
      <c r="C322" t="s">
        <v>38</v>
      </c>
      <c r="D322" t="s">
        <v>15</v>
      </c>
      <c r="E322" s="1">
        <v>45668</v>
      </c>
      <c r="F322" s="1">
        <v>45694</v>
      </c>
      <c r="G322" s="1">
        <v>45698</v>
      </c>
      <c r="H322" t="s">
        <v>32</v>
      </c>
      <c r="I322" t="s">
        <v>25</v>
      </c>
      <c r="J322" t="b">
        <v>1</v>
      </c>
      <c r="K322">
        <v>4</v>
      </c>
      <c r="L322">
        <v>7</v>
      </c>
    </row>
    <row r="323" spans="1:12" x14ac:dyDescent="0.25">
      <c r="A323" t="s">
        <v>381</v>
      </c>
      <c r="B323" t="s">
        <v>70</v>
      </c>
      <c r="C323" t="s">
        <v>107</v>
      </c>
      <c r="D323" t="s">
        <v>31</v>
      </c>
      <c r="E323" s="1">
        <v>45884</v>
      </c>
      <c r="F323" s="1">
        <v>45908</v>
      </c>
      <c r="H323" t="s">
        <v>16</v>
      </c>
      <c r="I323" t="s">
        <v>17</v>
      </c>
      <c r="J323" t="b">
        <v>1</v>
      </c>
      <c r="K323">
        <v>7</v>
      </c>
      <c r="L323">
        <v>9</v>
      </c>
    </row>
    <row r="324" spans="1:12" x14ac:dyDescent="0.25">
      <c r="A324" t="s">
        <v>382</v>
      </c>
      <c r="B324" t="s">
        <v>34</v>
      </c>
      <c r="C324" t="s">
        <v>27</v>
      </c>
      <c r="D324" t="s">
        <v>15</v>
      </c>
      <c r="E324" s="1">
        <v>45868</v>
      </c>
      <c r="F324" s="1">
        <v>45884</v>
      </c>
      <c r="G324" s="1">
        <v>45886</v>
      </c>
      <c r="H324" t="s">
        <v>32</v>
      </c>
      <c r="I324" t="s">
        <v>58</v>
      </c>
      <c r="J324" t="b">
        <v>1</v>
      </c>
      <c r="K324">
        <v>2</v>
      </c>
      <c r="L324">
        <v>6</v>
      </c>
    </row>
    <row r="325" spans="1:12" x14ac:dyDescent="0.25">
      <c r="A325" t="s">
        <v>383</v>
      </c>
      <c r="B325" t="s">
        <v>44</v>
      </c>
      <c r="C325" t="s">
        <v>27</v>
      </c>
      <c r="D325" t="s">
        <v>15</v>
      </c>
      <c r="E325" s="1">
        <v>46103</v>
      </c>
      <c r="F325" s="1">
        <v>46108</v>
      </c>
      <c r="H325" t="s">
        <v>24</v>
      </c>
      <c r="I325" t="s">
        <v>17</v>
      </c>
      <c r="J325" t="b">
        <v>0</v>
      </c>
      <c r="K325">
        <v>0</v>
      </c>
      <c r="L325">
        <v>7</v>
      </c>
    </row>
    <row r="326" spans="1:12" x14ac:dyDescent="0.25">
      <c r="A326" t="s">
        <v>384</v>
      </c>
      <c r="B326" t="s">
        <v>78</v>
      </c>
      <c r="C326" t="s">
        <v>35</v>
      </c>
      <c r="D326" t="s">
        <v>36</v>
      </c>
      <c r="E326" s="1">
        <v>46105</v>
      </c>
      <c r="F326" s="1">
        <v>46126</v>
      </c>
      <c r="H326" t="s">
        <v>16</v>
      </c>
      <c r="I326" t="s">
        <v>17</v>
      </c>
      <c r="J326" t="b">
        <v>1</v>
      </c>
      <c r="K326">
        <v>17</v>
      </c>
      <c r="L326">
        <v>3</v>
      </c>
    </row>
    <row r="327" spans="1:12" x14ac:dyDescent="0.25">
      <c r="A327" t="s">
        <v>385</v>
      </c>
      <c r="B327" t="s">
        <v>87</v>
      </c>
      <c r="C327" t="s">
        <v>14</v>
      </c>
      <c r="D327" t="s">
        <v>15</v>
      </c>
      <c r="E327" s="1">
        <v>45778</v>
      </c>
      <c r="F327" s="1">
        <v>45803</v>
      </c>
      <c r="G327" s="1">
        <v>45807</v>
      </c>
      <c r="H327" t="s">
        <v>32</v>
      </c>
      <c r="I327" t="s">
        <v>28</v>
      </c>
      <c r="J327" t="b">
        <v>1</v>
      </c>
      <c r="K327">
        <v>4</v>
      </c>
      <c r="L327">
        <v>9</v>
      </c>
    </row>
    <row r="328" spans="1:12" x14ac:dyDescent="0.25">
      <c r="A328" t="s">
        <v>386</v>
      </c>
      <c r="B328" t="s">
        <v>68</v>
      </c>
      <c r="C328" t="s">
        <v>52</v>
      </c>
      <c r="D328" t="s">
        <v>31</v>
      </c>
      <c r="E328" s="1">
        <v>45791</v>
      </c>
      <c r="F328" s="1">
        <v>45799</v>
      </c>
      <c r="H328" t="s">
        <v>24</v>
      </c>
      <c r="I328" t="s">
        <v>28</v>
      </c>
      <c r="J328" t="b">
        <v>0</v>
      </c>
      <c r="K328">
        <v>0</v>
      </c>
      <c r="L328">
        <v>10</v>
      </c>
    </row>
    <row r="329" spans="1:12" x14ac:dyDescent="0.25">
      <c r="A329" t="s">
        <v>387</v>
      </c>
      <c r="B329" t="s">
        <v>70</v>
      </c>
      <c r="C329" t="s">
        <v>54</v>
      </c>
      <c r="D329" t="s">
        <v>21</v>
      </c>
      <c r="E329" s="1">
        <v>46002</v>
      </c>
      <c r="F329" s="1">
        <v>46015</v>
      </c>
      <c r="G329" s="1">
        <v>46013</v>
      </c>
      <c r="H329" t="s">
        <v>32</v>
      </c>
      <c r="I329" t="s">
        <v>28</v>
      </c>
      <c r="J329" t="b">
        <v>0</v>
      </c>
      <c r="K329">
        <v>0</v>
      </c>
      <c r="L329">
        <v>7</v>
      </c>
    </row>
    <row r="330" spans="1:12" x14ac:dyDescent="0.25">
      <c r="A330" t="s">
        <v>388</v>
      </c>
      <c r="B330" t="s">
        <v>66</v>
      </c>
      <c r="C330" t="s">
        <v>61</v>
      </c>
      <c r="D330" t="s">
        <v>21</v>
      </c>
      <c r="E330" s="1">
        <v>45759</v>
      </c>
      <c r="F330" s="1">
        <v>45783</v>
      </c>
      <c r="G330" s="1">
        <v>45790</v>
      </c>
      <c r="H330" t="s">
        <v>32</v>
      </c>
      <c r="I330" t="s">
        <v>17</v>
      </c>
      <c r="J330" t="b">
        <v>1</v>
      </c>
      <c r="K330">
        <v>7</v>
      </c>
      <c r="L330">
        <v>8</v>
      </c>
    </row>
    <row r="331" spans="1:12" x14ac:dyDescent="0.25">
      <c r="A331" t="s">
        <v>389</v>
      </c>
      <c r="B331" t="s">
        <v>63</v>
      </c>
      <c r="C331" t="s">
        <v>45</v>
      </c>
      <c r="D331" t="s">
        <v>46</v>
      </c>
      <c r="E331" s="1">
        <v>46107</v>
      </c>
      <c r="F331" s="1">
        <v>46131</v>
      </c>
      <c r="G331" s="1">
        <v>46133</v>
      </c>
      <c r="H331" t="s">
        <v>32</v>
      </c>
      <c r="I331" t="s">
        <v>25</v>
      </c>
      <c r="J331" t="b">
        <v>1</v>
      </c>
      <c r="K331">
        <v>2</v>
      </c>
      <c r="L331">
        <v>3</v>
      </c>
    </row>
    <row r="332" spans="1:12" x14ac:dyDescent="0.25">
      <c r="A332" t="s">
        <v>390</v>
      </c>
      <c r="B332" t="s">
        <v>60</v>
      </c>
      <c r="C332" t="s">
        <v>45</v>
      </c>
      <c r="D332" t="s">
        <v>46</v>
      </c>
      <c r="E332" s="1">
        <v>45660</v>
      </c>
      <c r="F332" s="1">
        <v>45674</v>
      </c>
      <c r="H332" t="s">
        <v>39</v>
      </c>
      <c r="I332" t="s">
        <v>28</v>
      </c>
      <c r="J332" t="b">
        <v>0</v>
      </c>
      <c r="K332">
        <v>0</v>
      </c>
      <c r="L332">
        <v>6</v>
      </c>
    </row>
    <row r="333" spans="1:12" x14ac:dyDescent="0.25">
      <c r="A333" t="s">
        <v>391</v>
      </c>
      <c r="B333" t="s">
        <v>68</v>
      </c>
      <c r="C333" t="s">
        <v>107</v>
      </c>
      <c r="D333" t="s">
        <v>31</v>
      </c>
      <c r="E333" s="1">
        <v>46005</v>
      </c>
      <c r="F333" s="1">
        <v>46023</v>
      </c>
      <c r="H333" t="s">
        <v>16</v>
      </c>
      <c r="I333" t="s">
        <v>28</v>
      </c>
      <c r="J333" t="b">
        <v>1</v>
      </c>
      <c r="K333">
        <v>8</v>
      </c>
      <c r="L333">
        <v>5</v>
      </c>
    </row>
    <row r="334" spans="1:12" x14ac:dyDescent="0.25">
      <c r="A334" t="s">
        <v>392</v>
      </c>
      <c r="B334" t="s">
        <v>85</v>
      </c>
      <c r="C334" t="s">
        <v>38</v>
      </c>
      <c r="D334" t="s">
        <v>15</v>
      </c>
      <c r="E334" s="1">
        <v>45915</v>
      </c>
      <c r="F334" s="1">
        <v>45927</v>
      </c>
      <c r="G334" s="1">
        <v>45934</v>
      </c>
      <c r="H334" t="s">
        <v>32</v>
      </c>
      <c r="I334" t="s">
        <v>28</v>
      </c>
      <c r="J334" t="b">
        <v>1</v>
      </c>
      <c r="K334">
        <v>7</v>
      </c>
      <c r="L334">
        <v>9</v>
      </c>
    </row>
    <row r="335" spans="1:12" x14ac:dyDescent="0.25">
      <c r="A335" t="s">
        <v>393</v>
      </c>
      <c r="B335" t="s">
        <v>87</v>
      </c>
      <c r="C335" t="s">
        <v>112</v>
      </c>
      <c r="D335" t="s">
        <v>46</v>
      </c>
      <c r="E335" s="1">
        <v>46022</v>
      </c>
      <c r="F335" s="1">
        <v>46045</v>
      </c>
      <c r="G335" s="1">
        <v>46043</v>
      </c>
      <c r="H335" t="s">
        <v>32</v>
      </c>
      <c r="I335" t="s">
        <v>28</v>
      </c>
      <c r="J335" t="b">
        <v>0</v>
      </c>
      <c r="K335">
        <v>0</v>
      </c>
      <c r="L335">
        <v>1</v>
      </c>
    </row>
    <row r="336" spans="1:12" x14ac:dyDescent="0.25">
      <c r="A336" t="s">
        <v>394</v>
      </c>
      <c r="B336" t="s">
        <v>57</v>
      </c>
      <c r="C336" t="s">
        <v>54</v>
      </c>
      <c r="D336" t="s">
        <v>21</v>
      </c>
      <c r="E336" s="1">
        <v>45742</v>
      </c>
      <c r="F336" s="1">
        <v>45749</v>
      </c>
      <c r="G336" s="1">
        <v>45748</v>
      </c>
      <c r="H336" t="s">
        <v>32</v>
      </c>
      <c r="I336" t="s">
        <v>17</v>
      </c>
      <c r="J336" t="b">
        <v>0</v>
      </c>
      <c r="K336">
        <v>0</v>
      </c>
      <c r="L336">
        <v>4</v>
      </c>
    </row>
    <row r="337" spans="1:12" x14ac:dyDescent="0.25">
      <c r="A337" t="s">
        <v>395</v>
      </c>
      <c r="B337" t="s">
        <v>19</v>
      </c>
      <c r="C337" t="s">
        <v>91</v>
      </c>
      <c r="D337" t="s">
        <v>46</v>
      </c>
      <c r="E337" s="1">
        <v>45947</v>
      </c>
      <c r="F337" s="1">
        <v>45969</v>
      </c>
      <c r="H337" t="s">
        <v>16</v>
      </c>
      <c r="I337" t="s">
        <v>17</v>
      </c>
      <c r="J337" t="b">
        <v>1</v>
      </c>
      <c r="K337">
        <v>14</v>
      </c>
      <c r="L337">
        <v>5</v>
      </c>
    </row>
    <row r="338" spans="1:12" x14ac:dyDescent="0.25">
      <c r="A338" t="s">
        <v>396</v>
      </c>
      <c r="B338" t="s">
        <v>57</v>
      </c>
      <c r="C338" t="s">
        <v>54</v>
      </c>
      <c r="D338" t="s">
        <v>21</v>
      </c>
      <c r="E338" s="1">
        <v>46073</v>
      </c>
      <c r="F338" s="1">
        <v>46077</v>
      </c>
      <c r="G338" s="1">
        <v>46077</v>
      </c>
      <c r="H338" t="s">
        <v>32</v>
      </c>
      <c r="I338" t="s">
        <v>17</v>
      </c>
      <c r="J338" t="b">
        <v>0</v>
      </c>
      <c r="K338">
        <v>0</v>
      </c>
      <c r="L338">
        <v>10</v>
      </c>
    </row>
    <row r="339" spans="1:12" x14ac:dyDescent="0.25">
      <c r="A339" t="s">
        <v>397</v>
      </c>
      <c r="B339" t="s">
        <v>23</v>
      </c>
      <c r="C339" t="s">
        <v>107</v>
      </c>
      <c r="D339" t="s">
        <v>31</v>
      </c>
      <c r="E339" s="1">
        <v>45868</v>
      </c>
      <c r="F339" s="1">
        <v>45874</v>
      </c>
      <c r="G339" s="1">
        <v>45874</v>
      </c>
      <c r="H339" t="s">
        <v>32</v>
      </c>
      <c r="I339" t="s">
        <v>17</v>
      </c>
      <c r="J339" t="b">
        <v>0</v>
      </c>
      <c r="K339">
        <v>0</v>
      </c>
      <c r="L339">
        <v>8</v>
      </c>
    </row>
    <row r="340" spans="1:12" x14ac:dyDescent="0.25">
      <c r="A340" t="s">
        <v>398</v>
      </c>
      <c r="B340" t="s">
        <v>66</v>
      </c>
      <c r="C340" t="s">
        <v>54</v>
      </c>
      <c r="D340" t="s">
        <v>21</v>
      </c>
      <c r="E340" s="1">
        <v>46016</v>
      </c>
      <c r="F340" s="1">
        <v>46024</v>
      </c>
      <c r="G340" s="1">
        <v>46031</v>
      </c>
      <c r="H340" t="s">
        <v>32</v>
      </c>
      <c r="I340" t="s">
        <v>17</v>
      </c>
      <c r="J340" t="b">
        <v>1</v>
      </c>
      <c r="K340">
        <v>7</v>
      </c>
      <c r="L340">
        <v>2</v>
      </c>
    </row>
    <row r="341" spans="1:12" x14ac:dyDescent="0.25">
      <c r="A341" t="s">
        <v>399</v>
      </c>
      <c r="B341" t="s">
        <v>41</v>
      </c>
      <c r="C341" t="s">
        <v>91</v>
      </c>
      <c r="D341" t="s">
        <v>46</v>
      </c>
      <c r="E341" s="1">
        <v>45772</v>
      </c>
      <c r="F341" s="1">
        <v>45782</v>
      </c>
      <c r="G341" s="1">
        <v>45781</v>
      </c>
      <c r="H341" t="s">
        <v>32</v>
      </c>
      <c r="I341" t="s">
        <v>28</v>
      </c>
      <c r="J341" t="b">
        <v>0</v>
      </c>
      <c r="K341">
        <v>0</v>
      </c>
      <c r="L341">
        <v>9</v>
      </c>
    </row>
    <row r="342" spans="1:12" x14ac:dyDescent="0.25">
      <c r="A342" t="s">
        <v>400</v>
      </c>
      <c r="B342" t="s">
        <v>23</v>
      </c>
      <c r="C342" t="s">
        <v>76</v>
      </c>
      <c r="D342" t="s">
        <v>36</v>
      </c>
      <c r="E342" s="1">
        <v>46039</v>
      </c>
      <c r="F342" s="1">
        <v>46059</v>
      </c>
      <c r="G342" s="1">
        <v>46060</v>
      </c>
      <c r="H342" t="s">
        <v>32</v>
      </c>
      <c r="I342" t="s">
        <v>17</v>
      </c>
      <c r="J342" t="b">
        <v>1</v>
      </c>
      <c r="K342">
        <v>1</v>
      </c>
      <c r="L342">
        <v>10</v>
      </c>
    </row>
    <row r="343" spans="1:12" x14ac:dyDescent="0.25">
      <c r="A343" t="s">
        <v>401</v>
      </c>
      <c r="B343" t="s">
        <v>23</v>
      </c>
      <c r="C343" t="s">
        <v>45</v>
      </c>
      <c r="D343" t="s">
        <v>46</v>
      </c>
      <c r="E343" s="1">
        <v>46010</v>
      </c>
      <c r="F343" s="1">
        <v>46017</v>
      </c>
      <c r="H343" t="s">
        <v>24</v>
      </c>
      <c r="I343" t="s">
        <v>28</v>
      </c>
      <c r="J343" t="b">
        <v>0</v>
      </c>
      <c r="K343">
        <v>0</v>
      </c>
      <c r="L343">
        <v>1</v>
      </c>
    </row>
    <row r="344" spans="1:12" x14ac:dyDescent="0.25">
      <c r="A344" t="s">
        <v>402</v>
      </c>
      <c r="B344" t="s">
        <v>44</v>
      </c>
      <c r="C344" t="s">
        <v>45</v>
      </c>
      <c r="D344" t="s">
        <v>46</v>
      </c>
      <c r="E344" s="1">
        <v>45690</v>
      </c>
      <c r="F344" s="1">
        <v>45699</v>
      </c>
      <c r="H344" t="s">
        <v>16</v>
      </c>
      <c r="I344" t="s">
        <v>25</v>
      </c>
      <c r="J344" t="b">
        <v>1</v>
      </c>
      <c r="K344">
        <v>10</v>
      </c>
      <c r="L344">
        <v>3</v>
      </c>
    </row>
    <row r="345" spans="1:12" x14ac:dyDescent="0.25">
      <c r="A345" t="s">
        <v>403</v>
      </c>
      <c r="B345" t="s">
        <v>68</v>
      </c>
      <c r="C345" t="s">
        <v>76</v>
      </c>
      <c r="D345" t="s">
        <v>36</v>
      </c>
      <c r="E345" s="1">
        <v>45899</v>
      </c>
      <c r="F345" s="1">
        <v>45922</v>
      </c>
      <c r="G345" s="1">
        <v>45926</v>
      </c>
      <c r="H345" t="s">
        <v>32</v>
      </c>
      <c r="I345" t="s">
        <v>25</v>
      </c>
      <c r="J345" t="b">
        <v>1</v>
      </c>
      <c r="K345">
        <v>4</v>
      </c>
      <c r="L345">
        <v>1</v>
      </c>
    </row>
    <row r="346" spans="1:12" x14ac:dyDescent="0.25">
      <c r="A346" t="s">
        <v>404</v>
      </c>
      <c r="B346" t="s">
        <v>87</v>
      </c>
      <c r="C346" t="s">
        <v>14</v>
      </c>
      <c r="D346" t="s">
        <v>15</v>
      </c>
      <c r="E346" s="1">
        <v>46096</v>
      </c>
      <c r="F346" s="1">
        <v>46110</v>
      </c>
      <c r="H346" t="s">
        <v>39</v>
      </c>
      <c r="I346" t="s">
        <v>17</v>
      </c>
      <c r="J346" t="b">
        <v>0</v>
      </c>
      <c r="K346">
        <v>0</v>
      </c>
      <c r="L346">
        <v>2</v>
      </c>
    </row>
    <row r="347" spans="1:12" x14ac:dyDescent="0.25">
      <c r="A347" t="s">
        <v>405</v>
      </c>
      <c r="B347" t="s">
        <v>50</v>
      </c>
      <c r="C347" t="s">
        <v>76</v>
      </c>
      <c r="D347" t="s">
        <v>36</v>
      </c>
      <c r="E347" s="1">
        <v>46027</v>
      </c>
      <c r="F347" s="1">
        <v>46034</v>
      </c>
      <c r="H347" t="s">
        <v>16</v>
      </c>
      <c r="I347" t="s">
        <v>17</v>
      </c>
      <c r="J347" t="b">
        <v>1</v>
      </c>
      <c r="K347">
        <v>15</v>
      </c>
      <c r="L347">
        <v>9</v>
      </c>
    </row>
    <row r="348" spans="1:12" x14ac:dyDescent="0.25">
      <c r="A348" t="s">
        <v>406</v>
      </c>
      <c r="B348" t="s">
        <v>75</v>
      </c>
      <c r="C348" t="s">
        <v>52</v>
      </c>
      <c r="D348" t="s">
        <v>31</v>
      </c>
      <c r="E348" s="1">
        <v>45884</v>
      </c>
      <c r="F348" s="1">
        <v>45905</v>
      </c>
      <c r="G348" s="1">
        <v>45908</v>
      </c>
      <c r="H348" t="s">
        <v>32</v>
      </c>
      <c r="I348" t="s">
        <v>28</v>
      </c>
      <c r="J348" t="b">
        <v>1</v>
      </c>
      <c r="K348">
        <v>3</v>
      </c>
      <c r="L348">
        <v>3</v>
      </c>
    </row>
    <row r="349" spans="1:12" x14ac:dyDescent="0.25">
      <c r="A349" t="s">
        <v>407</v>
      </c>
      <c r="B349" t="s">
        <v>90</v>
      </c>
      <c r="C349" t="s">
        <v>20</v>
      </c>
      <c r="D349" t="s">
        <v>21</v>
      </c>
      <c r="E349" s="1">
        <v>46068</v>
      </c>
      <c r="F349" s="1">
        <v>46092</v>
      </c>
      <c r="H349" t="s">
        <v>16</v>
      </c>
      <c r="I349" t="s">
        <v>28</v>
      </c>
      <c r="J349" t="b">
        <v>1</v>
      </c>
      <c r="K349">
        <v>5</v>
      </c>
      <c r="L349">
        <v>6</v>
      </c>
    </row>
    <row r="350" spans="1:12" x14ac:dyDescent="0.25">
      <c r="A350" t="s">
        <v>408</v>
      </c>
      <c r="B350" t="s">
        <v>78</v>
      </c>
      <c r="C350" t="s">
        <v>38</v>
      </c>
      <c r="D350" t="s">
        <v>15</v>
      </c>
      <c r="E350" s="1">
        <v>45742</v>
      </c>
      <c r="F350" s="1">
        <v>45754</v>
      </c>
      <c r="G350" s="1">
        <v>45759</v>
      </c>
      <c r="H350" t="s">
        <v>32</v>
      </c>
      <c r="I350" t="s">
        <v>17</v>
      </c>
      <c r="J350" t="b">
        <v>1</v>
      </c>
      <c r="K350">
        <v>5</v>
      </c>
      <c r="L350">
        <v>8</v>
      </c>
    </row>
    <row r="351" spans="1:12" x14ac:dyDescent="0.25">
      <c r="A351" t="s">
        <v>409</v>
      </c>
      <c r="B351" t="s">
        <v>66</v>
      </c>
      <c r="C351" t="s">
        <v>27</v>
      </c>
      <c r="D351" t="s">
        <v>15</v>
      </c>
      <c r="E351" s="1">
        <v>46100</v>
      </c>
      <c r="F351" s="1">
        <v>46113</v>
      </c>
      <c r="H351" t="s">
        <v>39</v>
      </c>
      <c r="I351" t="s">
        <v>17</v>
      </c>
      <c r="J351" t="b">
        <v>0</v>
      </c>
      <c r="K351">
        <v>0</v>
      </c>
      <c r="L351">
        <v>10</v>
      </c>
    </row>
    <row r="352" spans="1:12" x14ac:dyDescent="0.25">
      <c r="A352" t="s">
        <v>410</v>
      </c>
      <c r="B352" t="s">
        <v>90</v>
      </c>
      <c r="C352" t="s">
        <v>42</v>
      </c>
      <c r="D352" t="s">
        <v>36</v>
      </c>
      <c r="E352" s="1">
        <v>45757</v>
      </c>
      <c r="F352" s="1">
        <v>45762</v>
      </c>
      <c r="G352" s="1">
        <v>45765</v>
      </c>
      <c r="H352" t="s">
        <v>32</v>
      </c>
      <c r="I352" t="s">
        <v>17</v>
      </c>
      <c r="J352" t="b">
        <v>1</v>
      </c>
      <c r="K352">
        <v>3</v>
      </c>
      <c r="L352">
        <v>1</v>
      </c>
    </row>
    <row r="353" spans="1:12" x14ac:dyDescent="0.25">
      <c r="A353" t="s">
        <v>411</v>
      </c>
      <c r="B353" t="s">
        <v>78</v>
      </c>
      <c r="C353" t="s">
        <v>27</v>
      </c>
      <c r="D353" t="s">
        <v>15</v>
      </c>
      <c r="E353" s="1">
        <v>45928</v>
      </c>
      <c r="F353" s="1">
        <v>45941</v>
      </c>
      <c r="G353" s="1">
        <v>45945</v>
      </c>
      <c r="H353" t="s">
        <v>32</v>
      </c>
      <c r="I353" t="s">
        <v>25</v>
      </c>
      <c r="J353" t="b">
        <v>1</v>
      </c>
      <c r="K353">
        <v>4</v>
      </c>
      <c r="L353">
        <v>6</v>
      </c>
    </row>
    <row r="354" spans="1:12" x14ac:dyDescent="0.25">
      <c r="A354" t="s">
        <v>412</v>
      </c>
      <c r="B354" t="s">
        <v>78</v>
      </c>
      <c r="C354" t="s">
        <v>107</v>
      </c>
      <c r="D354" t="s">
        <v>31</v>
      </c>
      <c r="E354" s="1">
        <v>45751</v>
      </c>
      <c r="F354" s="1">
        <v>45763</v>
      </c>
      <c r="G354" s="1">
        <v>45763</v>
      </c>
      <c r="H354" t="s">
        <v>32</v>
      </c>
      <c r="I354" t="s">
        <v>25</v>
      </c>
      <c r="J354" t="b">
        <v>0</v>
      </c>
      <c r="K354">
        <v>0</v>
      </c>
      <c r="L354">
        <v>3</v>
      </c>
    </row>
    <row r="355" spans="1:12" x14ac:dyDescent="0.25">
      <c r="A355" t="s">
        <v>413</v>
      </c>
      <c r="B355" t="s">
        <v>50</v>
      </c>
      <c r="C355" t="s">
        <v>52</v>
      </c>
      <c r="D355" t="s">
        <v>31</v>
      </c>
      <c r="E355" s="1">
        <v>45862</v>
      </c>
      <c r="F355" s="1">
        <v>45870</v>
      </c>
      <c r="H355" t="s">
        <v>16</v>
      </c>
      <c r="I355" t="s">
        <v>17</v>
      </c>
      <c r="J355" t="b">
        <v>1</v>
      </c>
      <c r="K355">
        <v>18</v>
      </c>
      <c r="L355">
        <v>10</v>
      </c>
    </row>
    <row r="356" spans="1:12" x14ac:dyDescent="0.25">
      <c r="A356" t="s">
        <v>414</v>
      </c>
      <c r="B356" t="s">
        <v>13</v>
      </c>
      <c r="C356" t="s">
        <v>35</v>
      </c>
      <c r="D356" t="s">
        <v>36</v>
      </c>
      <c r="E356" s="1">
        <v>45861</v>
      </c>
      <c r="F356" s="1">
        <v>45873</v>
      </c>
      <c r="G356" s="1">
        <v>45879</v>
      </c>
      <c r="H356" t="s">
        <v>32</v>
      </c>
      <c r="I356" t="s">
        <v>17</v>
      </c>
      <c r="J356" t="b">
        <v>1</v>
      </c>
      <c r="K356">
        <v>6</v>
      </c>
      <c r="L356">
        <v>5</v>
      </c>
    </row>
    <row r="357" spans="1:12" x14ac:dyDescent="0.25">
      <c r="A357" t="s">
        <v>415</v>
      </c>
      <c r="B357" t="s">
        <v>70</v>
      </c>
      <c r="C357" t="s">
        <v>61</v>
      </c>
      <c r="D357" t="s">
        <v>21</v>
      </c>
      <c r="E357" s="1">
        <v>46048</v>
      </c>
      <c r="F357" s="1">
        <v>46052</v>
      </c>
      <c r="G357" s="1">
        <v>46053</v>
      </c>
      <c r="H357" t="s">
        <v>32</v>
      </c>
      <c r="I357" t="s">
        <v>58</v>
      </c>
      <c r="J357" t="b">
        <v>1</v>
      </c>
      <c r="K357">
        <v>1</v>
      </c>
      <c r="L357">
        <v>5</v>
      </c>
    </row>
    <row r="358" spans="1:12" x14ac:dyDescent="0.25">
      <c r="A358" t="s">
        <v>416</v>
      </c>
      <c r="B358" t="s">
        <v>87</v>
      </c>
      <c r="C358" t="s">
        <v>38</v>
      </c>
      <c r="D358" t="s">
        <v>15</v>
      </c>
      <c r="E358" s="1">
        <v>45988</v>
      </c>
      <c r="F358" s="1">
        <v>46014</v>
      </c>
      <c r="H358" t="s">
        <v>16</v>
      </c>
      <c r="I358" t="s">
        <v>28</v>
      </c>
      <c r="J358" t="b">
        <v>1</v>
      </c>
      <c r="K358">
        <v>6</v>
      </c>
      <c r="L358">
        <v>3</v>
      </c>
    </row>
    <row r="359" spans="1:12" x14ac:dyDescent="0.25">
      <c r="A359" t="s">
        <v>417</v>
      </c>
      <c r="B359" t="s">
        <v>57</v>
      </c>
      <c r="C359" t="s">
        <v>45</v>
      </c>
      <c r="D359" t="s">
        <v>46</v>
      </c>
      <c r="E359" s="1">
        <v>46015</v>
      </c>
      <c r="F359" s="1">
        <v>46024</v>
      </c>
      <c r="H359" t="s">
        <v>16</v>
      </c>
      <c r="I359" t="s">
        <v>17</v>
      </c>
      <c r="J359" t="b">
        <v>1</v>
      </c>
      <c r="K359">
        <v>8</v>
      </c>
      <c r="L359">
        <v>8</v>
      </c>
    </row>
    <row r="360" spans="1:12" x14ac:dyDescent="0.25">
      <c r="A360" t="s">
        <v>418</v>
      </c>
      <c r="B360" t="s">
        <v>68</v>
      </c>
      <c r="C360" t="s">
        <v>76</v>
      </c>
      <c r="D360" t="s">
        <v>36</v>
      </c>
      <c r="E360" s="1">
        <v>45825</v>
      </c>
      <c r="F360" s="1">
        <v>45848</v>
      </c>
      <c r="H360" t="s">
        <v>24</v>
      </c>
      <c r="I360" t="s">
        <v>25</v>
      </c>
      <c r="J360" t="b">
        <v>0</v>
      </c>
      <c r="K360">
        <v>0</v>
      </c>
      <c r="L360">
        <v>2</v>
      </c>
    </row>
    <row r="361" spans="1:12" x14ac:dyDescent="0.25">
      <c r="A361" t="s">
        <v>419</v>
      </c>
      <c r="B361" t="s">
        <v>13</v>
      </c>
      <c r="C361" t="s">
        <v>112</v>
      </c>
      <c r="D361" t="s">
        <v>46</v>
      </c>
      <c r="E361" s="1">
        <v>45946</v>
      </c>
      <c r="F361" s="1">
        <v>45957</v>
      </c>
      <c r="G361" s="1">
        <v>45957</v>
      </c>
      <c r="H361" t="s">
        <v>32</v>
      </c>
      <c r="I361" t="s">
        <v>17</v>
      </c>
      <c r="J361" t="b">
        <v>0</v>
      </c>
      <c r="K361">
        <v>0</v>
      </c>
      <c r="L361">
        <v>6</v>
      </c>
    </row>
    <row r="362" spans="1:12" x14ac:dyDescent="0.25">
      <c r="A362" t="s">
        <v>420</v>
      </c>
      <c r="B362" t="s">
        <v>90</v>
      </c>
      <c r="C362" t="s">
        <v>76</v>
      </c>
      <c r="D362" t="s">
        <v>36</v>
      </c>
      <c r="E362" s="1">
        <v>45918</v>
      </c>
      <c r="F362" s="1">
        <v>45924</v>
      </c>
      <c r="G362" s="1">
        <v>45923</v>
      </c>
      <c r="H362" t="s">
        <v>32</v>
      </c>
      <c r="I362" t="s">
        <v>25</v>
      </c>
      <c r="J362" t="b">
        <v>0</v>
      </c>
      <c r="K362">
        <v>0</v>
      </c>
      <c r="L362">
        <v>9</v>
      </c>
    </row>
    <row r="363" spans="1:12" x14ac:dyDescent="0.25">
      <c r="A363" t="s">
        <v>421</v>
      </c>
      <c r="B363" t="s">
        <v>44</v>
      </c>
      <c r="C363" t="s">
        <v>45</v>
      </c>
      <c r="D363" t="s">
        <v>46</v>
      </c>
      <c r="E363" s="1">
        <v>45807</v>
      </c>
      <c r="F363" s="1">
        <v>45832</v>
      </c>
      <c r="H363" t="s">
        <v>39</v>
      </c>
      <c r="I363" t="s">
        <v>25</v>
      </c>
      <c r="J363" t="b">
        <v>0</v>
      </c>
      <c r="K363">
        <v>0</v>
      </c>
      <c r="L363">
        <v>10</v>
      </c>
    </row>
    <row r="364" spans="1:12" x14ac:dyDescent="0.25">
      <c r="A364" t="s">
        <v>422</v>
      </c>
      <c r="B364" t="s">
        <v>41</v>
      </c>
      <c r="C364" t="s">
        <v>54</v>
      </c>
      <c r="D364" t="s">
        <v>21</v>
      </c>
      <c r="E364" s="1">
        <v>45829</v>
      </c>
      <c r="F364" s="1">
        <v>45833</v>
      </c>
      <c r="G364" s="1">
        <v>45831</v>
      </c>
      <c r="H364" t="s">
        <v>32</v>
      </c>
      <c r="I364" t="s">
        <v>28</v>
      </c>
      <c r="J364" t="b">
        <v>0</v>
      </c>
      <c r="K364">
        <v>0</v>
      </c>
      <c r="L364">
        <v>2</v>
      </c>
    </row>
    <row r="365" spans="1:12" x14ac:dyDescent="0.25">
      <c r="A365" t="s">
        <v>423</v>
      </c>
      <c r="B365" t="s">
        <v>44</v>
      </c>
      <c r="C365" t="s">
        <v>107</v>
      </c>
      <c r="D365" t="s">
        <v>31</v>
      </c>
      <c r="E365" s="1">
        <v>45988</v>
      </c>
      <c r="F365" s="1">
        <v>46006</v>
      </c>
      <c r="G365" s="1">
        <v>46004</v>
      </c>
      <c r="H365" t="s">
        <v>32</v>
      </c>
      <c r="I365" t="s">
        <v>58</v>
      </c>
      <c r="J365" t="b">
        <v>0</v>
      </c>
      <c r="K365">
        <v>0</v>
      </c>
      <c r="L365">
        <v>6</v>
      </c>
    </row>
    <row r="366" spans="1:12" x14ac:dyDescent="0.25">
      <c r="A366" t="s">
        <v>424</v>
      </c>
      <c r="B366" t="s">
        <v>68</v>
      </c>
      <c r="C366" t="s">
        <v>38</v>
      </c>
      <c r="D366" t="s">
        <v>15</v>
      </c>
      <c r="E366" s="1">
        <v>45855</v>
      </c>
      <c r="F366" s="1">
        <v>45872</v>
      </c>
      <c r="H366" t="s">
        <v>16</v>
      </c>
      <c r="I366" t="s">
        <v>17</v>
      </c>
      <c r="J366" t="b">
        <v>1</v>
      </c>
      <c r="K366">
        <v>18</v>
      </c>
      <c r="L366">
        <v>4</v>
      </c>
    </row>
    <row r="367" spans="1:12" x14ac:dyDescent="0.25">
      <c r="A367" t="s">
        <v>425</v>
      </c>
      <c r="B367" t="s">
        <v>34</v>
      </c>
      <c r="C367" t="s">
        <v>35</v>
      </c>
      <c r="D367" t="s">
        <v>36</v>
      </c>
      <c r="E367" s="1">
        <v>45688</v>
      </c>
      <c r="F367" s="1">
        <v>45695</v>
      </c>
      <c r="G367" s="1">
        <v>45697</v>
      </c>
      <c r="H367" t="s">
        <v>32</v>
      </c>
      <c r="I367" t="s">
        <v>17</v>
      </c>
      <c r="J367" t="b">
        <v>1</v>
      </c>
      <c r="K367">
        <v>2</v>
      </c>
      <c r="L367">
        <v>2</v>
      </c>
    </row>
    <row r="368" spans="1:12" x14ac:dyDescent="0.25">
      <c r="A368" t="s">
        <v>426</v>
      </c>
      <c r="B368" t="s">
        <v>57</v>
      </c>
      <c r="C368" t="s">
        <v>38</v>
      </c>
      <c r="D368" t="s">
        <v>15</v>
      </c>
      <c r="E368" s="1">
        <v>46017</v>
      </c>
      <c r="F368" s="1">
        <v>46042</v>
      </c>
      <c r="G368" s="1">
        <v>46046</v>
      </c>
      <c r="H368" t="s">
        <v>32</v>
      </c>
      <c r="I368" t="s">
        <v>28</v>
      </c>
      <c r="J368" t="b">
        <v>1</v>
      </c>
      <c r="K368">
        <v>4</v>
      </c>
      <c r="L368">
        <v>8</v>
      </c>
    </row>
    <row r="369" spans="1:12" x14ac:dyDescent="0.25">
      <c r="A369" t="s">
        <v>427</v>
      </c>
      <c r="B369" t="s">
        <v>13</v>
      </c>
      <c r="C369" t="s">
        <v>30</v>
      </c>
      <c r="D369" t="s">
        <v>31</v>
      </c>
      <c r="E369" s="1">
        <v>46054</v>
      </c>
      <c r="F369" s="1">
        <v>46077</v>
      </c>
      <c r="H369" t="s">
        <v>16</v>
      </c>
      <c r="I369" t="s">
        <v>17</v>
      </c>
      <c r="J369" t="b">
        <v>1</v>
      </c>
      <c r="K369">
        <v>4</v>
      </c>
      <c r="L369">
        <v>9</v>
      </c>
    </row>
    <row r="370" spans="1:12" x14ac:dyDescent="0.25">
      <c r="A370" t="s">
        <v>428</v>
      </c>
      <c r="B370" t="s">
        <v>70</v>
      </c>
      <c r="C370" t="s">
        <v>30</v>
      </c>
      <c r="D370" t="s">
        <v>31</v>
      </c>
      <c r="E370" s="1">
        <v>45708</v>
      </c>
      <c r="F370" s="1">
        <v>45718</v>
      </c>
      <c r="H370" t="s">
        <v>24</v>
      </c>
      <c r="I370" t="s">
        <v>28</v>
      </c>
      <c r="J370" t="b">
        <v>0</v>
      </c>
      <c r="K370">
        <v>0</v>
      </c>
      <c r="L370">
        <v>7</v>
      </c>
    </row>
    <row r="371" spans="1:12" x14ac:dyDescent="0.25">
      <c r="A371" t="s">
        <v>429</v>
      </c>
      <c r="B371" t="s">
        <v>60</v>
      </c>
      <c r="C371" t="s">
        <v>107</v>
      </c>
      <c r="D371" t="s">
        <v>31</v>
      </c>
      <c r="E371" s="1">
        <v>45937</v>
      </c>
      <c r="F371" s="1">
        <v>45952</v>
      </c>
      <c r="H371" t="s">
        <v>24</v>
      </c>
      <c r="I371" t="s">
        <v>28</v>
      </c>
      <c r="J371" t="b">
        <v>0</v>
      </c>
      <c r="K371">
        <v>0</v>
      </c>
      <c r="L371">
        <v>6</v>
      </c>
    </row>
    <row r="372" spans="1:12" x14ac:dyDescent="0.25">
      <c r="A372" t="s">
        <v>430</v>
      </c>
      <c r="B372" t="s">
        <v>63</v>
      </c>
      <c r="C372" t="s">
        <v>52</v>
      </c>
      <c r="D372" t="s">
        <v>31</v>
      </c>
      <c r="E372" s="1">
        <v>45935</v>
      </c>
      <c r="F372" s="1">
        <v>45956</v>
      </c>
      <c r="G372" s="1">
        <v>45959</v>
      </c>
      <c r="H372" t="s">
        <v>32</v>
      </c>
      <c r="I372" t="s">
        <v>17</v>
      </c>
      <c r="J372" t="b">
        <v>1</v>
      </c>
      <c r="K372">
        <v>3</v>
      </c>
      <c r="L372">
        <v>4</v>
      </c>
    </row>
    <row r="373" spans="1:12" x14ac:dyDescent="0.25">
      <c r="A373" t="s">
        <v>431</v>
      </c>
      <c r="B373" t="s">
        <v>23</v>
      </c>
      <c r="C373" t="s">
        <v>35</v>
      </c>
      <c r="D373" t="s">
        <v>36</v>
      </c>
      <c r="E373" s="1">
        <v>45853</v>
      </c>
      <c r="F373" s="1">
        <v>45858</v>
      </c>
      <c r="G373" s="1">
        <v>45865</v>
      </c>
      <c r="H373" t="s">
        <v>32</v>
      </c>
      <c r="I373" t="s">
        <v>58</v>
      </c>
      <c r="J373" t="b">
        <v>1</v>
      </c>
      <c r="K373">
        <v>7</v>
      </c>
      <c r="L373">
        <v>1</v>
      </c>
    </row>
    <row r="374" spans="1:12" x14ac:dyDescent="0.25">
      <c r="A374" t="s">
        <v>432</v>
      </c>
      <c r="B374" t="s">
        <v>57</v>
      </c>
      <c r="C374" t="s">
        <v>45</v>
      </c>
      <c r="D374" t="s">
        <v>46</v>
      </c>
      <c r="E374" s="1">
        <v>46038</v>
      </c>
      <c r="F374" s="1">
        <v>46063</v>
      </c>
      <c r="H374" t="s">
        <v>16</v>
      </c>
      <c r="I374" t="s">
        <v>17</v>
      </c>
      <c r="J374" t="b">
        <v>1</v>
      </c>
      <c r="K374">
        <v>9</v>
      </c>
      <c r="L374">
        <v>8</v>
      </c>
    </row>
    <row r="375" spans="1:12" x14ac:dyDescent="0.25">
      <c r="A375" t="s">
        <v>433</v>
      </c>
      <c r="B375" t="s">
        <v>34</v>
      </c>
      <c r="C375" t="s">
        <v>91</v>
      </c>
      <c r="D375" t="s">
        <v>46</v>
      </c>
      <c r="E375" s="1">
        <v>45695</v>
      </c>
      <c r="F375" s="1">
        <v>45714</v>
      </c>
      <c r="G375" s="1">
        <v>45719</v>
      </c>
      <c r="H375" t="s">
        <v>32</v>
      </c>
      <c r="I375" t="s">
        <v>17</v>
      </c>
      <c r="J375" t="b">
        <v>1</v>
      </c>
      <c r="K375">
        <v>5</v>
      </c>
      <c r="L375">
        <v>6</v>
      </c>
    </row>
    <row r="376" spans="1:12" x14ac:dyDescent="0.25">
      <c r="A376" t="s">
        <v>434</v>
      </c>
      <c r="B376" t="s">
        <v>68</v>
      </c>
      <c r="C376" t="s">
        <v>112</v>
      </c>
      <c r="D376" t="s">
        <v>46</v>
      </c>
      <c r="E376" s="1">
        <v>46107</v>
      </c>
      <c r="F376" s="1">
        <v>46129</v>
      </c>
      <c r="G376" s="1">
        <v>46128</v>
      </c>
      <c r="H376" t="s">
        <v>32</v>
      </c>
      <c r="I376" t="s">
        <v>17</v>
      </c>
      <c r="J376" t="b">
        <v>0</v>
      </c>
      <c r="K376">
        <v>0</v>
      </c>
      <c r="L376">
        <v>7</v>
      </c>
    </row>
    <row r="377" spans="1:12" x14ac:dyDescent="0.25">
      <c r="A377" t="s">
        <v>435</v>
      </c>
      <c r="B377" t="s">
        <v>70</v>
      </c>
      <c r="C377" t="s">
        <v>14</v>
      </c>
      <c r="D377" t="s">
        <v>15</v>
      </c>
      <c r="E377" s="1">
        <v>45808</v>
      </c>
      <c r="F377" s="1">
        <v>45824</v>
      </c>
      <c r="G377" s="1">
        <v>45827</v>
      </c>
      <c r="H377" t="s">
        <v>32</v>
      </c>
      <c r="I377" t="s">
        <v>17</v>
      </c>
      <c r="J377" t="b">
        <v>1</v>
      </c>
      <c r="K377">
        <v>3</v>
      </c>
      <c r="L377">
        <v>6</v>
      </c>
    </row>
    <row r="378" spans="1:12" x14ac:dyDescent="0.25">
      <c r="A378" t="s">
        <v>436</v>
      </c>
      <c r="B378" t="s">
        <v>66</v>
      </c>
      <c r="C378" t="s">
        <v>20</v>
      </c>
      <c r="D378" t="s">
        <v>21</v>
      </c>
      <c r="E378" s="1">
        <v>45849</v>
      </c>
      <c r="F378" s="1">
        <v>45857</v>
      </c>
      <c r="G378" s="1">
        <v>45856</v>
      </c>
      <c r="H378" t="s">
        <v>32</v>
      </c>
      <c r="I378" t="s">
        <v>25</v>
      </c>
      <c r="J378" t="b">
        <v>0</v>
      </c>
      <c r="K378">
        <v>0</v>
      </c>
      <c r="L378">
        <v>6</v>
      </c>
    </row>
    <row r="379" spans="1:12" x14ac:dyDescent="0.25">
      <c r="A379" t="s">
        <v>437</v>
      </c>
      <c r="B379" t="s">
        <v>78</v>
      </c>
      <c r="C379" t="s">
        <v>14</v>
      </c>
      <c r="D379" t="s">
        <v>15</v>
      </c>
      <c r="E379" s="1">
        <v>45900</v>
      </c>
      <c r="F379" s="1">
        <v>45922</v>
      </c>
      <c r="G379" s="1">
        <v>45927</v>
      </c>
      <c r="H379" t="s">
        <v>32</v>
      </c>
      <c r="I379" t="s">
        <v>58</v>
      </c>
      <c r="J379" t="b">
        <v>1</v>
      </c>
      <c r="K379">
        <v>5</v>
      </c>
      <c r="L379">
        <v>4</v>
      </c>
    </row>
    <row r="380" spans="1:12" x14ac:dyDescent="0.25">
      <c r="A380" t="s">
        <v>438</v>
      </c>
      <c r="B380" t="s">
        <v>70</v>
      </c>
      <c r="C380" t="s">
        <v>76</v>
      </c>
      <c r="D380" t="s">
        <v>36</v>
      </c>
      <c r="E380" s="1">
        <v>46093</v>
      </c>
      <c r="F380" s="1">
        <v>46100</v>
      </c>
      <c r="G380" s="1">
        <v>46102</v>
      </c>
      <c r="H380" t="s">
        <v>32</v>
      </c>
      <c r="I380" t="s">
        <v>17</v>
      </c>
      <c r="J380" t="b">
        <v>1</v>
      </c>
      <c r="K380">
        <v>2</v>
      </c>
      <c r="L380">
        <v>2</v>
      </c>
    </row>
    <row r="381" spans="1:12" x14ac:dyDescent="0.25">
      <c r="A381" t="s">
        <v>439</v>
      </c>
      <c r="B381" t="s">
        <v>23</v>
      </c>
      <c r="C381" t="s">
        <v>52</v>
      </c>
      <c r="D381" t="s">
        <v>31</v>
      </c>
      <c r="E381" s="1">
        <v>45788</v>
      </c>
      <c r="F381" s="1">
        <v>45811</v>
      </c>
      <c r="H381" t="s">
        <v>24</v>
      </c>
      <c r="I381" t="s">
        <v>28</v>
      </c>
      <c r="J381" t="b">
        <v>0</v>
      </c>
      <c r="K381">
        <v>0</v>
      </c>
      <c r="L381">
        <v>4</v>
      </c>
    </row>
    <row r="382" spans="1:12" x14ac:dyDescent="0.25">
      <c r="A382" t="s">
        <v>440</v>
      </c>
      <c r="B382" t="s">
        <v>66</v>
      </c>
      <c r="C382" t="s">
        <v>54</v>
      </c>
      <c r="D382" t="s">
        <v>21</v>
      </c>
      <c r="E382" s="1">
        <v>45998</v>
      </c>
      <c r="F382" s="1">
        <v>46014</v>
      </c>
      <c r="G382" s="1">
        <v>46020</v>
      </c>
      <c r="H382" t="s">
        <v>32</v>
      </c>
      <c r="I382" t="s">
        <v>25</v>
      </c>
      <c r="J382" t="b">
        <v>1</v>
      </c>
      <c r="K382">
        <v>6</v>
      </c>
      <c r="L382">
        <v>3</v>
      </c>
    </row>
    <row r="383" spans="1:12" x14ac:dyDescent="0.25">
      <c r="A383" t="s">
        <v>441</v>
      </c>
      <c r="B383" t="s">
        <v>75</v>
      </c>
      <c r="C383" t="s">
        <v>42</v>
      </c>
      <c r="D383" t="s">
        <v>36</v>
      </c>
      <c r="E383" s="1">
        <v>45770</v>
      </c>
      <c r="F383" s="1">
        <v>45791</v>
      </c>
      <c r="G383" s="1">
        <v>45791</v>
      </c>
      <c r="H383" t="s">
        <v>32</v>
      </c>
      <c r="I383" t="s">
        <v>28</v>
      </c>
      <c r="J383" t="b">
        <v>0</v>
      </c>
      <c r="K383">
        <v>0</v>
      </c>
      <c r="L383">
        <v>10</v>
      </c>
    </row>
    <row r="384" spans="1:12" x14ac:dyDescent="0.25">
      <c r="A384" t="s">
        <v>442</v>
      </c>
      <c r="B384" t="s">
        <v>41</v>
      </c>
      <c r="C384" t="s">
        <v>52</v>
      </c>
      <c r="D384" t="s">
        <v>31</v>
      </c>
      <c r="E384" s="1">
        <v>45895</v>
      </c>
      <c r="F384" s="1">
        <v>45907</v>
      </c>
      <c r="H384" t="s">
        <v>39</v>
      </c>
      <c r="I384" t="s">
        <v>25</v>
      </c>
      <c r="J384" t="b">
        <v>0</v>
      </c>
      <c r="K384">
        <v>0</v>
      </c>
      <c r="L384">
        <v>6</v>
      </c>
    </row>
    <row r="385" spans="1:12" x14ac:dyDescent="0.25">
      <c r="A385" t="s">
        <v>443</v>
      </c>
      <c r="B385" t="s">
        <v>57</v>
      </c>
      <c r="C385" t="s">
        <v>52</v>
      </c>
      <c r="D385" t="s">
        <v>31</v>
      </c>
      <c r="E385" s="1">
        <v>45828</v>
      </c>
      <c r="F385" s="1">
        <v>45845</v>
      </c>
      <c r="H385" t="s">
        <v>39</v>
      </c>
      <c r="I385" t="s">
        <v>25</v>
      </c>
      <c r="J385" t="b">
        <v>0</v>
      </c>
      <c r="K385">
        <v>0</v>
      </c>
      <c r="L385">
        <v>4</v>
      </c>
    </row>
    <row r="386" spans="1:12" x14ac:dyDescent="0.25">
      <c r="A386" t="s">
        <v>444</v>
      </c>
      <c r="B386" t="s">
        <v>57</v>
      </c>
      <c r="C386" t="s">
        <v>35</v>
      </c>
      <c r="D386" t="s">
        <v>36</v>
      </c>
      <c r="E386" s="1">
        <v>46101</v>
      </c>
      <c r="F386" s="1">
        <v>46116</v>
      </c>
      <c r="G386" s="1">
        <v>46123</v>
      </c>
      <c r="H386" t="s">
        <v>32</v>
      </c>
      <c r="I386" t="s">
        <v>28</v>
      </c>
      <c r="J386" t="b">
        <v>1</v>
      </c>
      <c r="K386">
        <v>7</v>
      </c>
      <c r="L386">
        <v>9</v>
      </c>
    </row>
    <row r="387" spans="1:12" x14ac:dyDescent="0.25">
      <c r="A387" t="s">
        <v>445</v>
      </c>
      <c r="B387" t="s">
        <v>50</v>
      </c>
      <c r="C387" t="s">
        <v>112</v>
      </c>
      <c r="D387" t="s">
        <v>46</v>
      </c>
      <c r="E387" s="1">
        <v>45802</v>
      </c>
      <c r="F387" s="1">
        <v>45822</v>
      </c>
      <c r="G387" s="1">
        <v>45825</v>
      </c>
      <c r="H387" t="s">
        <v>32</v>
      </c>
      <c r="I387" t="s">
        <v>17</v>
      </c>
      <c r="J387" t="b">
        <v>1</v>
      </c>
      <c r="K387">
        <v>3</v>
      </c>
      <c r="L387">
        <v>10</v>
      </c>
    </row>
    <row r="388" spans="1:12" x14ac:dyDescent="0.25">
      <c r="A388" t="s">
        <v>446</v>
      </c>
      <c r="B388" t="s">
        <v>23</v>
      </c>
      <c r="C388" t="s">
        <v>14</v>
      </c>
      <c r="D388" t="s">
        <v>15</v>
      </c>
      <c r="E388" s="1">
        <v>45841</v>
      </c>
      <c r="F388" s="1">
        <v>45862</v>
      </c>
      <c r="H388" t="s">
        <v>24</v>
      </c>
      <c r="I388" t="s">
        <v>17</v>
      </c>
      <c r="J388" t="b">
        <v>0</v>
      </c>
      <c r="K388">
        <v>0</v>
      </c>
      <c r="L388">
        <v>6</v>
      </c>
    </row>
    <row r="389" spans="1:12" x14ac:dyDescent="0.25">
      <c r="A389" t="s">
        <v>447</v>
      </c>
      <c r="B389" t="s">
        <v>41</v>
      </c>
      <c r="C389" t="s">
        <v>38</v>
      </c>
      <c r="D389" t="s">
        <v>15</v>
      </c>
      <c r="E389" s="1">
        <v>45851</v>
      </c>
      <c r="F389" s="1">
        <v>45859</v>
      </c>
      <c r="G389" s="1">
        <v>45862</v>
      </c>
      <c r="H389" t="s">
        <v>32</v>
      </c>
      <c r="I389" t="s">
        <v>28</v>
      </c>
      <c r="J389" t="b">
        <v>1</v>
      </c>
      <c r="K389">
        <v>3</v>
      </c>
      <c r="L389">
        <v>6</v>
      </c>
    </row>
    <row r="390" spans="1:12" x14ac:dyDescent="0.25">
      <c r="A390" t="s">
        <v>448</v>
      </c>
      <c r="B390" t="s">
        <v>78</v>
      </c>
      <c r="C390" t="s">
        <v>61</v>
      </c>
      <c r="D390" t="s">
        <v>21</v>
      </c>
      <c r="E390" s="1">
        <v>46101</v>
      </c>
      <c r="F390" s="1">
        <v>46118</v>
      </c>
      <c r="G390" s="1">
        <v>46117</v>
      </c>
      <c r="H390" t="s">
        <v>32</v>
      </c>
      <c r="I390" t="s">
        <v>17</v>
      </c>
      <c r="J390" t="b">
        <v>0</v>
      </c>
      <c r="K390">
        <v>0</v>
      </c>
      <c r="L390">
        <v>2</v>
      </c>
    </row>
    <row r="391" spans="1:12" x14ac:dyDescent="0.25">
      <c r="A391" t="s">
        <v>449</v>
      </c>
      <c r="B391" t="s">
        <v>63</v>
      </c>
      <c r="C391" t="s">
        <v>76</v>
      </c>
      <c r="D391" t="s">
        <v>36</v>
      </c>
      <c r="E391" s="1">
        <v>46059</v>
      </c>
      <c r="F391" s="1">
        <v>46069</v>
      </c>
      <c r="G391" s="1">
        <v>46073</v>
      </c>
      <c r="H391" t="s">
        <v>32</v>
      </c>
      <c r="I391" t="s">
        <v>28</v>
      </c>
      <c r="J391" t="b">
        <v>1</v>
      </c>
      <c r="K391">
        <v>4</v>
      </c>
      <c r="L391">
        <v>3</v>
      </c>
    </row>
    <row r="392" spans="1:12" x14ac:dyDescent="0.25">
      <c r="A392" t="s">
        <v>450</v>
      </c>
      <c r="B392" t="s">
        <v>50</v>
      </c>
      <c r="C392" t="s">
        <v>76</v>
      </c>
      <c r="D392" t="s">
        <v>36</v>
      </c>
      <c r="E392" s="1">
        <v>45668</v>
      </c>
      <c r="F392" s="1">
        <v>45693</v>
      </c>
      <c r="H392" t="s">
        <v>24</v>
      </c>
      <c r="I392" t="s">
        <v>58</v>
      </c>
      <c r="J392" t="b">
        <v>0</v>
      </c>
      <c r="K392">
        <v>0</v>
      </c>
      <c r="L392">
        <v>9</v>
      </c>
    </row>
    <row r="393" spans="1:12" x14ac:dyDescent="0.25">
      <c r="A393" t="s">
        <v>451</v>
      </c>
      <c r="B393" t="s">
        <v>63</v>
      </c>
      <c r="C393" t="s">
        <v>14</v>
      </c>
      <c r="D393" t="s">
        <v>15</v>
      </c>
      <c r="E393" s="1">
        <v>45857</v>
      </c>
      <c r="F393" s="1">
        <v>45870</v>
      </c>
      <c r="G393" s="1">
        <v>45868</v>
      </c>
      <c r="H393" t="s">
        <v>32</v>
      </c>
      <c r="I393" t="s">
        <v>17</v>
      </c>
      <c r="J393" t="b">
        <v>0</v>
      </c>
      <c r="K393">
        <v>0</v>
      </c>
      <c r="L393">
        <v>2</v>
      </c>
    </row>
    <row r="394" spans="1:12" x14ac:dyDescent="0.25">
      <c r="A394" t="s">
        <v>452</v>
      </c>
      <c r="B394" t="s">
        <v>19</v>
      </c>
      <c r="C394" t="s">
        <v>27</v>
      </c>
      <c r="D394" t="s">
        <v>15</v>
      </c>
      <c r="E394" s="1">
        <v>45738</v>
      </c>
      <c r="F394" s="1">
        <v>45757</v>
      </c>
      <c r="G394" s="1">
        <v>45764</v>
      </c>
      <c r="H394" t="s">
        <v>32</v>
      </c>
      <c r="I394" t="s">
        <v>25</v>
      </c>
      <c r="J394" t="b">
        <v>1</v>
      </c>
      <c r="K394">
        <v>7</v>
      </c>
      <c r="L394">
        <v>9</v>
      </c>
    </row>
    <row r="395" spans="1:12" x14ac:dyDescent="0.25">
      <c r="A395" t="s">
        <v>453</v>
      </c>
      <c r="B395" t="s">
        <v>44</v>
      </c>
      <c r="C395" t="s">
        <v>42</v>
      </c>
      <c r="D395" t="s">
        <v>36</v>
      </c>
      <c r="E395" s="1">
        <v>45954</v>
      </c>
      <c r="F395" s="1">
        <v>45960</v>
      </c>
      <c r="G395" s="1">
        <v>45965</v>
      </c>
      <c r="H395" t="s">
        <v>32</v>
      </c>
      <c r="I395" t="s">
        <v>28</v>
      </c>
      <c r="J395" t="b">
        <v>1</v>
      </c>
      <c r="K395">
        <v>5</v>
      </c>
      <c r="L395">
        <v>6</v>
      </c>
    </row>
    <row r="396" spans="1:12" x14ac:dyDescent="0.25">
      <c r="A396" t="s">
        <v>454</v>
      </c>
      <c r="B396" t="s">
        <v>85</v>
      </c>
      <c r="C396" t="s">
        <v>54</v>
      </c>
      <c r="D396" t="s">
        <v>21</v>
      </c>
      <c r="E396" s="1">
        <v>45793</v>
      </c>
      <c r="F396" s="1">
        <v>45820</v>
      </c>
      <c r="G396" s="1">
        <v>45822</v>
      </c>
      <c r="H396" t="s">
        <v>32</v>
      </c>
      <c r="I396" t="s">
        <v>25</v>
      </c>
      <c r="J396" t="b">
        <v>1</v>
      </c>
      <c r="K396">
        <v>2</v>
      </c>
      <c r="L396">
        <v>6</v>
      </c>
    </row>
    <row r="397" spans="1:12" x14ac:dyDescent="0.25">
      <c r="A397" t="s">
        <v>455</v>
      </c>
      <c r="B397" t="s">
        <v>41</v>
      </c>
      <c r="C397" t="s">
        <v>38</v>
      </c>
      <c r="D397" t="s">
        <v>15</v>
      </c>
      <c r="E397" s="1">
        <v>45816</v>
      </c>
      <c r="F397" s="1">
        <v>45832</v>
      </c>
      <c r="G397" s="1">
        <v>45837</v>
      </c>
      <c r="H397" t="s">
        <v>32</v>
      </c>
      <c r="I397" t="s">
        <v>28</v>
      </c>
      <c r="J397" t="b">
        <v>1</v>
      </c>
      <c r="K397">
        <v>5</v>
      </c>
      <c r="L397">
        <v>4</v>
      </c>
    </row>
    <row r="398" spans="1:12" x14ac:dyDescent="0.25">
      <c r="A398" t="s">
        <v>456</v>
      </c>
      <c r="B398" t="s">
        <v>57</v>
      </c>
      <c r="C398" t="s">
        <v>42</v>
      </c>
      <c r="D398" t="s">
        <v>36</v>
      </c>
      <c r="E398" s="1">
        <v>45932</v>
      </c>
      <c r="F398" s="1">
        <v>45952</v>
      </c>
      <c r="H398" t="s">
        <v>24</v>
      </c>
      <c r="I398" t="s">
        <v>17</v>
      </c>
      <c r="J398" t="b">
        <v>0</v>
      </c>
      <c r="K398">
        <v>0</v>
      </c>
      <c r="L398">
        <v>1</v>
      </c>
    </row>
    <row r="399" spans="1:12" x14ac:dyDescent="0.25">
      <c r="A399" t="s">
        <v>457</v>
      </c>
      <c r="B399" t="s">
        <v>41</v>
      </c>
      <c r="C399" t="s">
        <v>38</v>
      </c>
      <c r="D399" t="s">
        <v>15</v>
      </c>
      <c r="E399" s="1">
        <v>46047</v>
      </c>
      <c r="F399" s="1">
        <v>46062</v>
      </c>
      <c r="H399" t="s">
        <v>24</v>
      </c>
      <c r="I399" t="s">
        <v>25</v>
      </c>
      <c r="J399" t="b">
        <v>0</v>
      </c>
      <c r="K399">
        <v>0</v>
      </c>
      <c r="L399">
        <v>1</v>
      </c>
    </row>
    <row r="400" spans="1:12" x14ac:dyDescent="0.25">
      <c r="A400" t="s">
        <v>458</v>
      </c>
      <c r="B400" t="s">
        <v>98</v>
      </c>
      <c r="C400" t="s">
        <v>52</v>
      </c>
      <c r="D400" t="s">
        <v>31</v>
      </c>
      <c r="E400" s="1">
        <v>45758</v>
      </c>
      <c r="F400" s="1">
        <v>45776</v>
      </c>
      <c r="G400" s="1">
        <v>45778</v>
      </c>
      <c r="H400" t="s">
        <v>32</v>
      </c>
      <c r="I400" t="s">
        <v>28</v>
      </c>
      <c r="J400" t="b">
        <v>1</v>
      </c>
      <c r="K400">
        <v>2</v>
      </c>
      <c r="L400">
        <v>7</v>
      </c>
    </row>
    <row r="401" spans="1:12" x14ac:dyDescent="0.25">
      <c r="A401" t="s">
        <v>459</v>
      </c>
      <c r="B401" t="s">
        <v>85</v>
      </c>
      <c r="C401" t="s">
        <v>54</v>
      </c>
      <c r="D401" t="s">
        <v>21</v>
      </c>
      <c r="E401" s="1">
        <v>46074</v>
      </c>
      <c r="F401" s="1">
        <v>46088</v>
      </c>
      <c r="H401" t="s">
        <v>16</v>
      </c>
      <c r="I401" t="s">
        <v>28</v>
      </c>
      <c r="J401" t="b">
        <v>1</v>
      </c>
      <c r="K401">
        <v>4</v>
      </c>
      <c r="L401">
        <v>5</v>
      </c>
    </row>
    <row r="402" spans="1:12" x14ac:dyDescent="0.25">
      <c r="A402" t="s">
        <v>460</v>
      </c>
      <c r="B402" t="s">
        <v>19</v>
      </c>
      <c r="C402" t="s">
        <v>52</v>
      </c>
      <c r="D402" t="s">
        <v>31</v>
      </c>
      <c r="E402" s="1">
        <v>46086</v>
      </c>
      <c r="F402" s="1">
        <v>46102</v>
      </c>
      <c r="H402" t="s">
        <v>39</v>
      </c>
      <c r="I402" t="s">
        <v>58</v>
      </c>
      <c r="J402" t="b">
        <v>0</v>
      </c>
      <c r="K402">
        <v>0</v>
      </c>
      <c r="L402">
        <v>10</v>
      </c>
    </row>
    <row r="403" spans="1:12" x14ac:dyDescent="0.25">
      <c r="A403" t="s">
        <v>461</v>
      </c>
      <c r="B403" t="s">
        <v>70</v>
      </c>
      <c r="C403" t="s">
        <v>76</v>
      </c>
      <c r="D403" t="s">
        <v>36</v>
      </c>
      <c r="E403" s="1">
        <v>45762</v>
      </c>
      <c r="F403" s="1">
        <v>45791</v>
      </c>
      <c r="H403" t="s">
        <v>39</v>
      </c>
      <c r="I403" t="s">
        <v>17</v>
      </c>
      <c r="J403" t="b">
        <v>0</v>
      </c>
      <c r="K403">
        <v>0</v>
      </c>
      <c r="L403">
        <v>2</v>
      </c>
    </row>
    <row r="404" spans="1:12" x14ac:dyDescent="0.25">
      <c r="A404" t="s">
        <v>462</v>
      </c>
      <c r="B404" t="s">
        <v>13</v>
      </c>
      <c r="C404" t="s">
        <v>54</v>
      </c>
      <c r="D404" t="s">
        <v>21</v>
      </c>
      <c r="E404" s="1">
        <v>45934</v>
      </c>
      <c r="F404" s="1">
        <v>45962</v>
      </c>
      <c r="H404" t="s">
        <v>16</v>
      </c>
      <c r="I404" t="s">
        <v>58</v>
      </c>
      <c r="J404" t="b">
        <v>1</v>
      </c>
      <c r="K404">
        <v>12</v>
      </c>
      <c r="L404">
        <v>6</v>
      </c>
    </row>
    <row r="405" spans="1:12" x14ac:dyDescent="0.25">
      <c r="A405" t="s">
        <v>463</v>
      </c>
      <c r="B405" t="s">
        <v>63</v>
      </c>
      <c r="C405" t="s">
        <v>20</v>
      </c>
      <c r="D405" t="s">
        <v>21</v>
      </c>
      <c r="E405" s="1">
        <v>45990</v>
      </c>
      <c r="F405" s="1">
        <v>46012</v>
      </c>
      <c r="G405" s="1">
        <v>46010</v>
      </c>
      <c r="H405" t="s">
        <v>32</v>
      </c>
      <c r="I405" t="s">
        <v>17</v>
      </c>
      <c r="J405" t="b">
        <v>0</v>
      </c>
      <c r="K405">
        <v>0</v>
      </c>
      <c r="L405">
        <v>5</v>
      </c>
    </row>
    <row r="406" spans="1:12" x14ac:dyDescent="0.25">
      <c r="A406" t="s">
        <v>464</v>
      </c>
      <c r="B406" t="s">
        <v>87</v>
      </c>
      <c r="C406" t="s">
        <v>35</v>
      </c>
      <c r="D406" t="s">
        <v>36</v>
      </c>
      <c r="E406" s="1">
        <v>45887</v>
      </c>
      <c r="F406" s="1">
        <v>45904</v>
      </c>
      <c r="G406" s="1">
        <v>45905</v>
      </c>
      <c r="H406" t="s">
        <v>32</v>
      </c>
      <c r="I406" t="s">
        <v>25</v>
      </c>
      <c r="J406" t="b">
        <v>1</v>
      </c>
      <c r="K406">
        <v>1</v>
      </c>
      <c r="L406">
        <v>8</v>
      </c>
    </row>
    <row r="407" spans="1:12" x14ac:dyDescent="0.25">
      <c r="A407" t="s">
        <v>465</v>
      </c>
      <c r="B407" t="s">
        <v>90</v>
      </c>
      <c r="C407" t="s">
        <v>112</v>
      </c>
      <c r="D407" t="s">
        <v>46</v>
      </c>
      <c r="E407" s="1">
        <v>45736</v>
      </c>
      <c r="F407" s="1">
        <v>45749</v>
      </c>
      <c r="G407" s="1">
        <v>45749</v>
      </c>
      <c r="H407" t="s">
        <v>32</v>
      </c>
      <c r="I407" t="s">
        <v>17</v>
      </c>
      <c r="J407" t="b">
        <v>0</v>
      </c>
      <c r="K407">
        <v>0</v>
      </c>
      <c r="L407">
        <v>10</v>
      </c>
    </row>
    <row r="408" spans="1:12" x14ac:dyDescent="0.25">
      <c r="A408" t="s">
        <v>466</v>
      </c>
      <c r="B408" t="s">
        <v>13</v>
      </c>
      <c r="C408" t="s">
        <v>35</v>
      </c>
      <c r="D408" t="s">
        <v>36</v>
      </c>
      <c r="E408" s="1">
        <v>45754</v>
      </c>
      <c r="F408" s="1">
        <v>45782</v>
      </c>
      <c r="H408" t="s">
        <v>16</v>
      </c>
      <c r="I408" t="s">
        <v>25</v>
      </c>
      <c r="J408" t="b">
        <v>1</v>
      </c>
      <c r="K408">
        <v>17</v>
      </c>
      <c r="L408">
        <v>5</v>
      </c>
    </row>
    <row r="409" spans="1:12" x14ac:dyDescent="0.25">
      <c r="A409" t="s">
        <v>467</v>
      </c>
      <c r="B409" t="s">
        <v>85</v>
      </c>
      <c r="C409" t="s">
        <v>52</v>
      </c>
      <c r="D409" t="s">
        <v>31</v>
      </c>
      <c r="E409" s="1">
        <v>45936</v>
      </c>
      <c r="F409" s="1">
        <v>45951</v>
      </c>
      <c r="G409" s="1">
        <v>45958</v>
      </c>
      <c r="H409" t="s">
        <v>32</v>
      </c>
      <c r="I409" t="s">
        <v>25</v>
      </c>
      <c r="J409" t="b">
        <v>1</v>
      </c>
      <c r="K409">
        <v>7</v>
      </c>
      <c r="L409">
        <v>4</v>
      </c>
    </row>
    <row r="410" spans="1:12" x14ac:dyDescent="0.25">
      <c r="A410" t="s">
        <v>468</v>
      </c>
      <c r="B410" t="s">
        <v>19</v>
      </c>
      <c r="C410" t="s">
        <v>14</v>
      </c>
      <c r="D410" t="s">
        <v>15</v>
      </c>
      <c r="E410" s="1">
        <v>45725</v>
      </c>
      <c r="F410" s="1">
        <v>45740</v>
      </c>
      <c r="H410" t="s">
        <v>39</v>
      </c>
      <c r="I410" t="s">
        <v>17</v>
      </c>
      <c r="J410" t="b">
        <v>0</v>
      </c>
      <c r="K410">
        <v>0</v>
      </c>
      <c r="L410">
        <v>3</v>
      </c>
    </row>
    <row r="411" spans="1:12" x14ac:dyDescent="0.25">
      <c r="A411" t="s">
        <v>469</v>
      </c>
      <c r="B411" t="s">
        <v>13</v>
      </c>
      <c r="C411" t="s">
        <v>14</v>
      </c>
      <c r="D411" t="s">
        <v>15</v>
      </c>
      <c r="E411" s="1">
        <v>45844</v>
      </c>
      <c r="F411" s="1">
        <v>45859</v>
      </c>
      <c r="G411" s="1">
        <v>45864</v>
      </c>
      <c r="H411" t="s">
        <v>32</v>
      </c>
      <c r="I411" t="s">
        <v>17</v>
      </c>
      <c r="J411" t="b">
        <v>1</v>
      </c>
      <c r="K411">
        <v>5</v>
      </c>
      <c r="L411">
        <v>4</v>
      </c>
    </row>
    <row r="412" spans="1:12" x14ac:dyDescent="0.25">
      <c r="A412" t="s">
        <v>470</v>
      </c>
      <c r="B412" t="s">
        <v>44</v>
      </c>
      <c r="C412" t="s">
        <v>38</v>
      </c>
      <c r="D412" t="s">
        <v>15</v>
      </c>
      <c r="E412" s="1">
        <v>45987</v>
      </c>
      <c r="F412" s="1">
        <v>46004</v>
      </c>
      <c r="G412" s="1">
        <v>46005</v>
      </c>
      <c r="H412" t="s">
        <v>32</v>
      </c>
      <c r="I412" t="s">
        <v>28</v>
      </c>
      <c r="J412" t="b">
        <v>1</v>
      </c>
      <c r="K412">
        <v>1</v>
      </c>
      <c r="L412">
        <v>1</v>
      </c>
    </row>
    <row r="413" spans="1:12" x14ac:dyDescent="0.25">
      <c r="A413" t="s">
        <v>471</v>
      </c>
      <c r="B413" t="s">
        <v>63</v>
      </c>
      <c r="C413" t="s">
        <v>61</v>
      </c>
      <c r="D413" t="s">
        <v>21</v>
      </c>
      <c r="E413" s="1">
        <v>45743</v>
      </c>
      <c r="F413" s="1">
        <v>45749</v>
      </c>
      <c r="H413" t="s">
        <v>39</v>
      </c>
      <c r="I413" t="s">
        <v>17</v>
      </c>
      <c r="J413" t="b">
        <v>0</v>
      </c>
      <c r="K413">
        <v>0</v>
      </c>
      <c r="L413">
        <v>3</v>
      </c>
    </row>
    <row r="414" spans="1:12" x14ac:dyDescent="0.25">
      <c r="A414" t="s">
        <v>472</v>
      </c>
      <c r="B414" t="s">
        <v>60</v>
      </c>
      <c r="C414" t="s">
        <v>42</v>
      </c>
      <c r="D414" t="s">
        <v>36</v>
      </c>
      <c r="E414" s="1">
        <v>45726</v>
      </c>
      <c r="F414" s="1">
        <v>45734</v>
      </c>
      <c r="G414" s="1">
        <v>45738</v>
      </c>
      <c r="H414" t="s">
        <v>32</v>
      </c>
      <c r="I414" t="s">
        <v>17</v>
      </c>
      <c r="J414" t="b">
        <v>1</v>
      </c>
      <c r="K414">
        <v>4</v>
      </c>
      <c r="L414">
        <v>9</v>
      </c>
    </row>
    <row r="415" spans="1:12" x14ac:dyDescent="0.25">
      <c r="A415" t="s">
        <v>473</v>
      </c>
      <c r="B415" t="s">
        <v>57</v>
      </c>
      <c r="C415" t="s">
        <v>14</v>
      </c>
      <c r="D415" t="s">
        <v>15</v>
      </c>
      <c r="E415" s="1">
        <v>45856</v>
      </c>
      <c r="F415" s="1">
        <v>45877</v>
      </c>
      <c r="G415" s="1">
        <v>45879</v>
      </c>
      <c r="H415" t="s">
        <v>32</v>
      </c>
      <c r="I415" t="s">
        <v>28</v>
      </c>
      <c r="J415" t="b">
        <v>1</v>
      </c>
      <c r="K415">
        <v>2</v>
      </c>
      <c r="L415">
        <v>1</v>
      </c>
    </row>
    <row r="416" spans="1:12" x14ac:dyDescent="0.25">
      <c r="A416" t="s">
        <v>474</v>
      </c>
      <c r="B416" t="s">
        <v>63</v>
      </c>
      <c r="C416" t="s">
        <v>91</v>
      </c>
      <c r="D416" t="s">
        <v>46</v>
      </c>
      <c r="E416" s="1">
        <v>45934</v>
      </c>
      <c r="F416" s="1">
        <v>45945</v>
      </c>
      <c r="G416" s="1">
        <v>45946</v>
      </c>
      <c r="H416" t="s">
        <v>32</v>
      </c>
      <c r="I416" t="s">
        <v>28</v>
      </c>
      <c r="J416" t="b">
        <v>1</v>
      </c>
      <c r="K416">
        <v>1</v>
      </c>
      <c r="L416">
        <v>6</v>
      </c>
    </row>
    <row r="417" spans="1:12" x14ac:dyDescent="0.25">
      <c r="A417" t="s">
        <v>475</v>
      </c>
      <c r="B417" t="s">
        <v>34</v>
      </c>
      <c r="C417" t="s">
        <v>30</v>
      </c>
      <c r="D417" t="s">
        <v>31</v>
      </c>
      <c r="E417" s="1">
        <v>45769</v>
      </c>
      <c r="F417" s="1">
        <v>45781</v>
      </c>
      <c r="G417" s="1">
        <v>45783</v>
      </c>
      <c r="H417" t="s">
        <v>32</v>
      </c>
      <c r="I417" t="s">
        <v>28</v>
      </c>
      <c r="J417" t="b">
        <v>1</v>
      </c>
      <c r="K417">
        <v>2</v>
      </c>
      <c r="L417">
        <v>7</v>
      </c>
    </row>
    <row r="418" spans="1:12" x14ac:dyDescent="0.25">
      <c r="A418" t="s">
        <v>476</v>
      </c>
      <c r="B418" t="s">
        <v>44</v>
      </c>
      <c r="C418" t="s">
        <v>30</v>
      </c>
      <c r="D418" t="s">
        <v>31</v>
      </c>
      <c r="E418" s="1">
        <v>45896</v>
      </c>
      <c r="F418" s="1">
        <v>45904</v>
      </c>
      <c r="G418" s="1">
        <v>45907</v>
      </c>
      <c r="H418" t="s">
        <v>32</v>
      </c>
      <c r="I418" t="s">
        <v>25</v>
      </c>
      <c r="J418" t="b">
        <v>1</v>
      </c>
      <c r="K418">
        <v>3</v>
      </c>
      <c r="L418">
        <v>4</v>
      </c>
    </row>
    <row r="419" spans="1:12" x14ac:dyDescent="0.25">
      <c r="A419" t="s">
        <v>477</v>
      </c>
      <c r="B419" t="s">
        <v>98</v>
      </c>
      <c r="C419" t="s">
        <v>54</v>
      </c>
      <c r="D419" t="s">
        <v>21</v>
      </c>
      <c r="E419" s="1">
        <v>45847</v>
      </c>
      <c r="F419" s="1">
        <v>45869</v>
      </c>
      <c r="G419" s="1">
        <v>45868</v>
      </c>
      <c r="H419" t="s">
        <v>32</v>
      </c>
      <c r="I419" t="s">
        <v>17</v>
      </c>
      <c r="J419" t="b">
        <v>0</v>
      </c>
      <c r="K419">
        <v>0</v>
      </c>
      <c r="L419">
        <v>1</v>
      </c>
    </row>
    <row r="420" spans="1:12" x14ac:dyDescent="0.25">
      <c r="A420" t="s">
        <v>478</v>
      </c>
      <c r="B420" t="s">
        <v>90</v>
      </c>
      <c r="C420" t="s">
        <v>14</v>
      </c>
      <c r="D420" t="s">
        <v>15</v>
      </c>
      <c r="E420" s="1">
        <v>45928</v>
      </c>
      <c r="F420" s="1">
        <v>45937</v>
      </c>
      <c r="G420" s="1">
        <v>45942</v>
      </c>
      <c r="H420" t="s">
        <v>32</v>
      </c>
      <c r="I420" t="s">
        <v>25</v>
      </c>
      <c r="J420" t="b">
        <v>1</v>
      </c>
      <c r="K420">
        <v>5</v>
      </c>
      <c r="L420">
        <v>8</v>
      </c>
    </row>
    <row r="421" spans="1:12" x14ac:dyDescent="0.25">
      <c r="A421" t="s">
        <v>479</v>
      </c>
      <c r="B421" t="s">
        <v>60</v>
      </c>
      <c r="C421" t="s">
        <v>112</v>
      </c>
      <c r="D421" t="s">
        <v>46</v>
      </c>
      <c r="E421" s="1">
        <v>46076</v>
      </c>
      <c r="F421" s="1">
        <v>46105</v>
      </c>
      <c r="H421" t="s">
        <v>24</v>
      </c>
      <c r="I421" t="s">
        <v>17</v>
      </c>
      <c r="J421" t="b">
        <v>0</v>
      </c>
      <c r="K421">
        <v>0</v>
      </c>
      <c r="L421">
        <v>3</v>
      </c>
    </row>
    <row r="422" spans="1:12" x14ac:dyDescent="0.25">
      <c r="A422" t="s">
        <v>480</v>
      </c>
      <c r="B422" t="s">
        <v>19</v>
      </c>
      <c r="C422" t="s">
        <v>107</v>
      </c>
      <c r="D422" t="s">
        <v>31</v>
      </c>
      <c r="E422" s="1">
        <v>45899</v>
      </c>
      <c r="F422" s="1">
        <v>45905</v>
      </c>
      <c r="G422" s="1">
        <v>45910</v>
      </c>
      <c r="H422" t="s">
        <v>32</v>
      </c>
      <c r="I422" t="s">
        <v>58</v>
      </c>
      <c r="J422" t="b">
        <v>1</v>
      </c>
      <c r="K422">
        <v>5</v>
      </c>
      <c r="L422">
        <v>10</v>
      </c>
    </row>
    <row r="423" spans="1:12" x14ac:dyDescent="0.25">
      <c r="A423" t="s">
        <v>481</v>
      </c>
      <c r="B423" t="s">
        <v>34</v>
      </c>
      <c r="C423" t="s">
        <v>42</v>
      </c>
      <c r="D423" t="s">
        <v>36</v>
      </c>
      <c r="E423" s="1">
        <v>45704</v>
      </c>
      <c r="F423" s="1">
        <v>45729</v>
      </c>
      <c r="G423" s="1">
        <v>45732</v>
      </c>
      <c r="H423" t="s">
        <v>32</v>
      </c>
      <c r="I423" t="s">
        <v>25</v>
      </c>
      <c r="J423" t="b">
        <v>1</v>
      </c>
      <c r="K423">
        <v>3</v>
      </c>
      <c r="L423">
        <v>1</v>
      </c>
    </row>
    <row r="424" spans="1:12" x14ac:dyDescent="0.25">
      <c r="A424" t="s">
        <v>482</v>
      </c>
      <c r="B424" t="s">
        <v>34</v>
      </c>
      <c r="C424" t="s">
        <v>30</v>
      </c>
      <c r="D424" t="s">
        <v>31</v>
      </c>
      <c r="E424" s="1">
        <v>45666</v>
      </c>
      <c r="F424" s="1">
        <v>45672</v>
      </c>
      <c r="H424" t="s">
        <v>39</v>
      </c>
      <c r="I424" t="s">
        <v>17</v>
      </c>
      <c r="J424" t="b">
        <v>0</v>
      </c>
      <c r="K424">
        <v>0</v>
      </c>
      <c r="L424">
        <v>3</v>
      </c>
    </row>
    <row r="425" spans="1:12" x14ac:dyDescent="0.25">
      <c r="A425" t="s">
        <v>483</v>
      </c>
      <c r="B425" t="s">
        <v>78</v>
      </c>
      <c r="C425" t="s">
        <v>45</v>
      </c>
      <c r="D425" t="s">
        <v>46</v>
      </c>
      <c r="E425" s="1">
        <v>45884</v>
      </c>
      <c r="F425" s="1">
        <v>45888</v>
      </c>
      <c r="G425" s="1">
        <v>45886</v>
      </c>
      <c r="H425" t="s">
        <v>32</v>
      </c>
      <c r="I425" t="s">
        <v>25</v>
      </c>
      <c r="J425" t="b">
        <v>0</v>
      </c>
      <c r="K425">
        <v>0</v>
      </c>
      <c r="L425">
        <v>1</v>
      </c>
    </row>
    <row r="426" spans="1:12" x14ac:dyDescent="0.25">
      <c r="A426" t="s">
        <v>484</v>
      </c>
      <c r="B426" t="s">
        <v>90</v>
      </c>
      <c r="C426" t="s">
        <v>91</v>
      </c>
      <c r="D426" t="s">
        <v>46</v>
      </c>
      <c r="E426" s="1">
        <v>46095</v>
      </c>
      <c r="F426" s="1">
        <v>46124</v>
      </c>
      <c r="G426" s="1">
        <v>46124</v>
      </c>
      <c r="H426" t="s">
        <v>32</v>
      </c>
      <c r="I426" t="s">
        <v>25</v>
      </c>
      <c r="J426" t="b">
        <v>0</v>
      </c>
      <c r="K426">
        <v>0</v>
      </c>
      <c r="L426">
        <v>5</v>
      </c>
    </row>
    <row r="427" spans="1:12" x14ac:dyDescent="0.25">
      <c r="A427" t="s">
        <v>485</v>
      </c>
      <c r="B427" t="s">
        <v>41</v>
      </c>
      <c r="C427" t="s">
        <v>112</v>
      </c>
      <c r="D427" t="s">
        <v>46</v>
      </c>
      <c r="E427" s="1">
        <v>45783</v>
      </c>
      <c r="F427" s="1">
        <v>45797</v>
      </c>
      <c r="G427" s="1">
        <v>45803</v>
      </c>
      <c r="H427" t="s">
        <v>32</v>
      </c>
      <c r="I427" t="s">
        <v>25</v>
      </c>
      <c r="J427" t="b">
        <v>1</v>
      </c>
      <c r="K427">
        <v>6</v>
      </c>
      <c r="L427">
        <v>6</v>
      </c>
    </row>
    <row r="428" spans="1:12" x14ac:dyDescent="0.25">
      <c r="A428" t="s">
        <v>486</v>
      </c>
      <c r="B428" t="s">
        <v>57</v>
      </c>
      <c r="C428" t="s">
        <v>61</v>
      </c>
      <c r="D428" t="s">
        <v>21</v>
      </c>
      <c r="E428" s="1">
        <v>45741</v>
      </c>
      <c r="F428" s="1">
        <v>45763</v>
      </c>
      <c r="H428" t="s">
        <v>39</v>
      </c>
      <c r="I428" t="s">
        <v>17</v>
      </c>
      <c r="J428" t="b">
        <v>0</v>
      </c>
      <c r="K428">
        <v>0</v>
      </c>
      <c r="L428">
        <v>4</v>
      </c>
    </row>
    <row r="429" spans="1:12" x14ac:dyDescent="0.25">
      <c r="A429" t="s">
        <v>487</v>
      </c>
      <c r="B429" t="s">
        <v>57</v>
      </c>
      <c r="C429" t="s">
        <v>30</v>
      </c>
      <c r="D429" t="s">
        <v>31</v>
      </c>
      <c r="E429" s="1">
        <v>45979</v>
      </c>
      <c r="F429" s="1">
        <v>46000</v>
      </c>
      <c r="G429" s="1">
        <v>46002</v>
      </c>
      <c r="H429" t="s">
        <v>32</v>
      </c>
      <c r="I429" t="s">
        <v>58</v>
      </c>
      <c r="J429" t="b">
        <v>1</v>
      </c>
      <c r="K429">
        <v>2</v>
      </c>
      <c r="L429">
        <v>6</v>
      </c>
    </row>
    <row r="430" spans="1:12" x14ac:dyDescent="0.25">
      <c r="A430" t="s">
        <v>488</v>
      </c>
      <c r="B430" t="s">
        <v>48</v>
      </c>
      <c r="C430" t="s">
        <v>54</v>
      </c>
      <c r="D430" t="s">
        <v>21</v>
      </c>
      <c r="E430" s="1">
        <v>45838</v>
      </c>
      <c r="F430" s="1">
        <v>45850</v>
      </c>
      <c r="G430" s="1">
        <v>45851</v>
      </c>
      <c r="H430" t="s">
        <v>32</v>
      </c>
      <c r="I430" t="s">
        <v>17</v>
      </c>
      <c r="J430" t="b">
        <v>1</v>
      </c>
      <c r="K430">
        <v>1</v>
      </c>
      <c r="L430">
        <v>6</v>
      </c>
    </row>
    <row r="431" spans="1:12" x14ac:dyDescent="0.25">
      <c r="A431" t="s">
        <v>489</v>
      </c>
      <c r="B431" t="s">
        <v>98</v>
      </c>
      <c r="C431" t="s">
        <v>35</v>
      </c>
      <c r="D431" t="s">
        <v>36</v>
      </c>
      <c r="E431" s="1">
        <v>45683</v>
      </c>
      <c r="F431" s="1">
        <v>45701</v>
      </c>
      <c r="G431" s="1">
        <v>45701</v>
      </c>
      <c r="H431" t="s">
        <v>32</v>
      </c>
      <c r="I431" t="s">
        <v>17</v>
      </c>
      <c r="J431" t="b">
        <v>0</v>
      </c>
      <c r="K431">
        <v>0</v>
      </c>
      <c r="L431">
        <v>2</v>
      </c>
    </row>
    <row r="432" spans="1:12" x14ac:dyDescent="0.25">
      <c r="A432" t="s">
        <v>490</v>
      </c>
      <c r="B432" t="s">
        <v>50</v>
      </c>
      <c r="C432" t="s">
        <v>45</v>
      </c>
      <c r="D432" t="s">
        <v>46</v>
      </c>
      <c r="E432" s="1">
        <v>45912</v>
      </c>
      <c r="F432" s="1">
        <v>45928</v>
      </c>
      <c r="G432" s="1">
        <v>45931</v>
      </c>
      <c r="H432" t="s">
        <v>32</v>
      </c>
      <c r="I432" t="s">
        <v>25</v>
      </c>
      <c r="J432" t="b">
        <v>1</v>
      </c>
      <c r="K432">
        <v>3</v>
      </c>
      <c r="L432">
        <v>8</v>
      </c>
    </row>
    <row r="433" spans="1:12" x14ac:dyDescent="0.25">
      <c r="A433" t="s">
        <v>491</v>
      </c>
      <c r="B433" t="s">
        <v>41</v>
      </c>
      <c r="C433" t="s">
        <v>14</v>
      </c>
      <c r="D433" t="s">
        <v>15</v>
      </c>
      <c r="E433" s="1">
        <v>45791</v>
      </c>
      <c r="F433" s="1">
        <v>45815</v>
      </c>
      <c r="H433" t="s">
        <v>16</v>
      </c>
      <c r="I433" t="s">
        <v>28</v>
      </c>
      <c r="J433" t="b">
        <v>1</v>
      </c>
      <c r="K433">
        <v>18</v>
      </c>
      <c r="L433">
        <v>4</v>
      </c>
    </row>
    <row r="434" spans="1:12" x14ac:dyDescent="0.25">
      <c r="A434" t="s">
        <v>492</v>
      </c>
      <c r="B434" t="s">
        <v>87</v>
      </c>
      <c r="C434" t="s">
        <v>107</v>
      </c>
      <c r="D434" t="s">
        <v>31</v>
      </c>
      <c r="E434" s="1">
        <v>45966</v>
      </c>
      <c r="F434" s="1">
        <v>45995</v>
      </c>
      <c r="H434" t="s">
        <v>24</v>
      </c>
      <c r="I434" t="s">
        <v>17</v>
      </c>
      <c r="J434" t="b">
        <v>0</v>
      </c>
      <c r="K434">
        <v>0</v>
      </c>
      <c r="L434">
        <v>5</v>
      </c>
    </row>
    <row r="435" spans="1:12" x14ac:dyDescent="0.25">
      <c r="A435" t="s">
        <v>493</v>
      </c>
      <c r="B435" t="s">
        <v>44</v>
      </c>
      <c r="C435" t="s">
        <v>20</v>
      </c>
      <c r="D435" t="s">
        <v>21</v>
      </c>
      <c r="E435" s="1">
        <v>45897</v>
      </c>
      <c r="F435" s="1">
        <v>45921</v>
      </c>
      <c r="G435" s="1">
        <v>45920</v>
      </c>
      <c r="H435" t="s">
        <v>32</v>
      </c>
      <c r="I435" t="s">
        <v>28</v>
      </c>
      <c r="J435" t="b">
        <v>0</v>
      </c>
      <c r="K435">
        <v>0</v>
      </c>
      <c r="L435">
        <v>4</v>
      </c>
    </row>
    <row r="436" spans="1:12" x14ac:dyDescent="0.25">
      <c r="A436" t="s">
        <v>494</v>
      </c>
      <c r="B436" t="s">
        <v>68</v>
      </c>
      <c r="C436" t="s">
        <v>27</v>
      </c>
      <c r="D436" t="s">
        <v>15</v>
      </c>
      <c r="E436" s="1">
        <v>45777</v>
      </c>
      <c r="F436" s="1">
        <v>45786</v>
      </c>
      <c r="H436" t="s">
        <v>39</v>
      </c>
      <c r="I436" t="s">
        <v>58</v>
      </c>
      <c r="J436" t="b">
        <v>0</v>
      </c>
      <c r="K436">
        <v>0</v>
      </c>
      <c r="L436">
        <v>7</v>
      </c>
    </row>
    <row r="437" spans="1:12" x14ac:dyDescent="0.25">
      <c r="A437" t="s">
        <v>495</v>
      </c>
      <c r="B437" t="s">
        <v>60</v>
      </c>
      <c r="C437" t="s">
        <v>76</v>
      </c>
      <c r="D437" t="s">
        <v>36</v>
      </c>
      <c r="E437" s="1">
        <v>46029</v>
      </c>
      <c r="F437" s="1">
        <v>46032</v>
      </c>
      <c r="G437" s="1">
        <v>46033</v>
      </c>
      <c r="H437" t="s">
        <v>32</v>
      </c>
      <c r="I437" t="s">
        <v>28</v>
      </c>
      <c r="J437" t="b">
        <v>1</v>
      </c>
      <c r="K437">
        <v>1</v>
      </c>
      <c r="L437">
        <v>4</v>
      </c>
    </row>
    <row r="438" spans="1:12" x14ac:dyDescent="0.25">
      <c r="A438" t="s">
        <v>496</v>
      </c>
      <c r="B438" t="s">
        <v>48</v>
      </c>
      <c r="C438" t="s">
        <v>30</v>
      </c>
      <c r="D438" t="s">
        <v>31</v>
      </c>
      <c r="E438" s="1">
        <v>46099</v>
      </c>
      <c r="F438" s="1">
        <v>46111</v>
      </c>
      <c r="G438" s="1">
        <v>46112</v>
      </c>
      <c r="H438" t="s">
        <v>32</v>
      </c>
      <c r="I438" t="s">
        <v>28</v>
      </c>
      <c r="J438" t="b">
        <v>1</v>
      </c>
      <c r="K438">
        <v>1</v>
      </c>
      <c r="L438">
        <v>5</v>
      </c>
    </row>
    <row r="439" spans="1:12" x14ac:dyDescent="0.25">
      <c r="A439" t="s">
        <v>497</v>
      </c>
      <c r="B439" t="s">
        <v>57</v>
      </c>
      <c r="C439" t="s">
        <v>30</v>
      </c>
      <c r="D439" t="s">
        <v>31</v>
      </c>
      <c r="E439" s="1">
        <v>45789</v>
      </c>
      <c r="F439" s="1">
        <v>45812</v>
      </c>
      <c r="G439" s="1">
        <v>45815</v>
      </c>
      <c r="H439" t="s">
        <v>32</v>
      </c>
      <c r="I439" t="s">
        <v>58</v>
      </c>
      <c r="J439" t="b">
        <v>1</v>
      </c>
      <c r="K439">
        <v>3</v>
      </c>
      <c r="L439">
        <v>3</v>
      </c>
    </row>
    <row r="440" spans="1:12" x14ac:dyDescent="0.25">
      <c r="A440" t="s">
        <v>498</v>
      </c>
      <c r="B440" t="s">
        <v>19</v>
      </c>
      <c r="C440" t="s">
        <v>107</v>
      </c>
      <c r="D440" t="s">
        <v>31</v>
      </c>
      <c r="E440" s="1">
        <v>46077</v>
      </c>
      <c r="F440" s="1">
        <v>46088</v>
      </c>
      <c r="G440" s="1">
        <v>46086</v>
      </c>
      <c r="H440" t="s">
        <v>32</v>
      </c>
      <c r="I440" t="s">
        <v>25</v>
      </c>
      <c r="J440" t="b">
        <v>0</v>
      </c>
      <c r="K440">
        <v>0</v>
      </c>
      <c r="L440">
        <v>8</v>
      </c>
    </row>
    <row r="441" spans="1:12" x14ac:dyDescent="0.25">
      <c r="A441" t="s">
        <v>499</v>
      </c>
      <c r="B441" t="s">
        <v>98</v>
      </c>
      <c r="C441" t="s">
        <v>38</v>
      </c>
      <c r="D441" t="s">
        <v>15</v>
      </c>
      <c r="E441" s="1">
        <v>45734</v>
      </c>
      <c r="F441" s="1">
        <v>45748</v>
      </c>
      <c r="H441" t="s">
        <v>16</v>
      </c>
      <c r="I441" t="s">
        <v>17</v>
      </c>
      <c r="J441" t="b">
        <v>1</v>
      </c>
      <c r="K441">
        <v>3</v>
      </c>
      <c r="L441">
        <v>5</v>
      </c>
    </row>
    <row r="442" spans="1:12" x14ac:dyDescent="0.25">
      <c r="A442" t="s">
        <v>500</v>
      </c>
      <c r="B442" t="s">
        <v>70</v>
      </c>
      <c r="C442" t="s">
        <v>38</v>
      </c>
      <c r="D442" t="s">
        <v>15</v>
      </c>
      <c r="E442" s="1">
        <v>45879</v>
      </c>
      <c r="F442" s="1">
        <v>45884</v>
      </c>
      <c r="G442" s="1">
        <v>45891</v>
      </c>
      <c r="H442" t="s">
        <v>32</v>
      </c>
      <c r="I442" t="s">
        <v>25</v>
      </c>
      <c r="J442" t="b">
        <v>1</v>
      </c>
      <c r="K442">
        <v>7</v>
      </c>
      <c r="L442">
        <v>1</v>
      </c>
    </row>
    <row r="443" spans="1:12" x14ac:dyDescent="0.25">
      <c r="A443" t="s">
        <v>501</v>
      </c>
      <c r="B443" t="s">
        <v>63</v>
      </c>
      <c r="C443" t="s">
        <v>107</v>
      </c>
      <c r="D443" t="s">
        <v>31</v>
      </c>
      <c r="E443" s="1">
        <v>45718</v>
      </c>
      <c r="F443" s="1">
        <v>45721</v>
      </c>
      <c r="G443" s="1">
        <v>45725</v>
      </c>
      <c r="H443" t="s">
        <v>32</v>
      </c>
      <c r="I443" t="s">
        <v>17</v>
      </c>
      <c r="J443" t="b">
        <v>1</v>
      </c>
      <c r="K443">
        <v>4</v>
      </c>
      <c r="L443">
        <v>3</v>
      </c>
    </row>
    <row r="444" spans="1:12" x14ac:dyDescent="0.25">
      <c r="A444" t="s">
        <v>502</v>
      </c>
      <c r="B444" t="s">
        <v>98</v>
      </c>
      <c r="C444" t="s">
        <v>38</v>
      </c>
      <c r="D444" t="s">
        <v>15</v>
      </c>
      <c r="E444" s="1">
        <v>45814</v>
      </c>
      <c r="F444" s="1">
        <v>45819</v>
      </c>
      <c r="H444" t="s">
        <v>24</v>
      </c>
      <c r="I444" t="s">
        <v>17</v>
      </c>
      <c r="J444" t="b">
        <v>0</v>
      </c>
      <c r="K444">
        <v>0</v>
      </c>
      <c r="L444">
        <v>6</v>
      </c>
    </row>
    <row r="445" spans="1:12" x14ac:dyDescent="0.25">
      <c r="A445" t="s">
        <v>503</v>
      </c>
      <c r="B445" t="s">
        <v>63</v>
      </c>
      <c r="C445" t="s">
        <v>38</v>
      </c>
      <c r="D445" t="s">
        <v>15</v>
      </c>
      <c r="E445" s="1">
        <v>45859</v>
      </c>
      <c r="F445" s="1">
        <v>45874</v>
      </c>
      <c r="G445" s="1">
        <v>45874</v>
      </c>
      <c r="H445" t="s">
        <v>32</v>
      </c>
      <c r="I445" t="s">
        <v>17</v>
      </c>
      <c r="J445" t="b">
        <v>0</v>
      </c>
      <c r="K445">
        <v>0</v>
      </c>
      <c r="L445">
        <v>3</v>
      </c>
    </row>
    <row r="446" spans="1:12" x14ac:dyDescent="0.25">
      <c r="A446" t="s">
        <v>504</v>
      </c>
      <c r="B446" t="s">
        <v>66</v>
      </c>
      <c r="C446" t="s">
        <v>107</v>
      </c>
      <c r="D446" t="s">
        <v>31</v>
      </c>
      <c r="E446" s="1">
        <v>45779</v>
      </c>
      <c r="F446" s="1">
        <v>45805</v>
      </c>
      <c r="H446" t="s">
        <v>16</v>
      </c>
      <c r="I446" t="s">
        <v>17</v>
      </c>
      <c r="J446" t="b">
        <v>1</v>
      </c>
      <c r="K446">
        <v>17</v>
      </c>
      <c r="L446">
        <v>4</v>
      </c>
    </row>
    <row r="447" spans="1:12" x14ac:dyDescent="0.25">
      <c r="A447" t="s">
        <v>505</v>
      </c>
      <c r="B447" t="s">
        <v>13</v>
      </c>
      <c r="C447" t="s">
        <v>112</v>
      </c>
      <c r="D447" t="s">
        <v>46</v>
      </c>
      <c r="E447" s="1">
        <v>45845</v>
      </c>
      <c r="F447" s="1">
        <v>45860</v>
      </c>
      <c r="G447" s="1">
        <v>45860</v>
      </c>
      <c r="H447" t="s">
        <v>32</v>
      </c>
      <c r="I447" t="s">
        <v>28</v>
      </c>
      <c r="J447" t="b">
        <v>0</v>
      </c>
      <c r="K447">
        <v>0</v>
      </c>
      <c r="L447">
        <v>5</v>
      </c>
    </row>
    <row r="448" spans="1:12" x14ac:dyDescent="0.25">
      <c r="A448" t="s">
        <v>506</v>
      </c>
      <c r="B448" t="s">
        <v>68</v>
      </c>
      <c r="C448" t="s">
        <v>42</v>
      </c>
      <c r="D448" t="s">
        <v>36</v>
      </c>
      <c r="E448" s="1">
        <v>45912</v>
      </c>
      <c r="F448" s="1">
        <v>45929</v>
      </c>
      <c r="G448" s="1">
        <v>45931</v>
      </c>
      <c r="H448" t="s">
        <v>32</v>
      </c>
      <c r="I448" t="s">
        <v>28</v>
      </c>
      <c r="J448" t="b">
        <v>1</v>
      </c>
      <c r="K448">
        <v>2</v>
      </c>
      <c r="L448">
        <v>6</v>
      </c>
    </row>
    <row r="449" spans="1:12" x14ac:dyDescent="0.25">
      <c r="A449" t="s">
        <v>507</v>
      </c>
      <c r="B449" t="s">
        <v>50</v>
      </c>
      <c r="C449" t="s">
        <v>20</v>
      </c>
      <c r="D449" t="s">
        <v>21</v>
      </c>
      <c r="E449" s="1">
        <v>46011</v>
      </c>
      <c r="F449" s="1">
        <v>46027</v>
      </c>
      <c r="H449" t="s">
        <v>39</v>
      </c>
      <c r="I449" t="s">
        <v>28</v>
      </c>
      <c r="J449" t="b">
        <v>0</v>
      </c>
      <c r="K449">
        <v>0</v>
      </c>
      <c r="L449">
        <v>9</v>
      </c>
    </row>
    <row r="450" spans="1:12" x14ac:dyDescent="0.25">
      <c r="A450" t="s">
        <v>508</v>
      </c>
      <c r="B450" t="s">
        <v>19</v>
      </c>
      <c r="C450" t="s">
        <v>107</v>
      </c>
      <c r="D450" t="s">
        <v>31</v>
      </c>
      <c r="E450" s="1">
        <v>45909</v>
      </c>
      <c r="F450" s="1">
        <v>45916</v>
      </c>
      <c r="G450" s="1">
        <v>45916</v>
      </c>
      <c r="H450" t="s">
        <v>32</v>
      </c>
      <c r="I450" t="s">
        <v>25</v>
      </c>
      <c r="J450" t="b">
        <v>0</v>
      </c>
      <c r="K450">
        <v>0</v>
      </c>
      <c r="L450">
        <v>10</v>
      </c>
    </row>
    <row r="451" spans="1:12" x14ac:dyDescent="0.25">
      <c r="A451" t="s">
        <v>509</v>
      </c>
      <c r="B451" t="s">
        <v>70</v>
      </c>
      <c r="C451" t="s">
        <v>61</v>
      </c>
      <c r="D451" t="s">
        <v>21</v>
      </c>
      <c r="E451" s="1">
        <v>46081</v>
      </c>
      <c r="F451" s="1">
        <v>46087</v>
      </c>
      <c r="G451" s="1">
        <v>46088</v>
      </c>
      <c r="H451" t="s">
        <v>32</v>
      </c>
      <c r="I451" t="s">
        <v>17</v>
      </c>
      <c r="J451" t="b">
        <v>1</v>
      </c>
      <c r="K451">
        <v>1</v>
      </c>
      <c r="L451">
        <v>2</v>
      </c>
    </row>
    <row r="452" spans="1:12" x14ac:dyDescent="0.25">
      <c r="A452" t="s">
        <v>510</v>
      </c>
      <c r="B452" t="s">
        <v>85</v>
      </c>
      <c r="C452" t="s">
        <v>91</v>
      </c>
      <c r="D452" t="s">
        <v>46</v>
      </c>
      <c r="E452" s="1">
        <v>45739</v>
      </c>
      <c r="F452" s="1">
        <v>45764</v>
      </c>
      <c r="G452" s="1">
        <v>45762</v>
      </c>
      <c r="H452" t="s">
        <v>32</v>
      </c>
      <c r="I452" t="s">
        <v>17</v>
      </c>
      <c r="J452" t="b">
        <v>0</v>
      </c>
      <c r="K452">
        <v>0</v>
      </c>
      <c r="L452">
        <v>4</v>
      </c>
    </row>
    <row r="453" spans="1:12" x14ac:dyDescent="0.25">
      <c r="A453" t="s">
        <v>511</v>
      </c>
      <c r="B453" t="s">
        <v>63</v>
      </c>
      <c r="C453" t="s">
        <v>14</v>
      </c>
      <c r="D453" t="s">
        <v>15</v>
      </c>
      <c r="E453" s="1">
        <v>45828</v>
      </c>
      <c r="F453" s="1">
        <v>45834</v>
      </c>
      <c r="G453" s="1">
        <v>45835</v>
      </c>
      <c r="H453" t="s">
        <v>32</v>
      </c>
      <c r="I453" t="s">
        <v>17</v>
      </c>
      <c r="J453" t="b">
        <v>1</v>
      </c>
      <c r="K453">
        <v>1</v>
      </c>
      <c r="L453">
        <v>1</v>
      </c>
    </row>
    <row r="454" spans="1:12" x14ac:dyDescent="0.25">
      <c r="A454" t="s">
        <v>512</v>
      </c>
      <c r="B454" t="s">
        <v>75</v>
      </c>
      <c r="C454" t="s">
        <v>107</v>
      </c>
      <c r="D454" t="s">
        <v>31</v>
      </c>
      <c r="E454" s="1">
        <v>45712</v>
      </c>
      <c r="F454" s="1">
        <v>45730</v>
      </c>
      <c r="G454" s="1">
        <v>45731</v>
      </c>
      <c r="H454" t="s">
        <v>32</v>
      </c>
      <c r="I454" t="s">
        <v>25</v>
      </c>
      <c r="J454" t="b">
        <v>1</v>
      </c>
      <c r="K454">
        <v>1</v>
      </c>
      <c r="L454">
        <v>3</v>
      </c>
    </row>
    <row r="455" spans="1:12" x14ac:dyDescent="0.25">
      <c r="A455" t="s">
        <v>513</v>
      </c>
      <c r="B455" t="s">
        <v>41</v>
      </c>
      <c r="C455" t="s">
        <v>35</v>
      </c>
      <c r="D455" t="s">
        <v>36</v>
      </c>
      <c r="E455" s="1">
        <v>45982</v>
      </c>
      <c r="F455" s="1">
        <v>46011</v>
      </c>
      <c r="G455" s="1">
        <v>46016</v>
      </c>
      <c r="H455" t="s">
        <v>32</v>
      </c>
      <c r="I455" t="s">
        <v>17</v>
      </c>
      <c r="J455" t="b">
        <v>1</v>
      </c>
      <c r="K455">
        <v>5</v>
      </c>
      <c r="L455">
        <v>8</v>
      </c>
    </row>
    <row r="456" spans="1:12" x14ac:dyDescent="0.25">
      <c r="A456" t="s">
        <v>514</v>
      </c>
      <c r="B456" t="s">
        <v>70</v>
      </c>
      <c r="C456" t="s">
        <v>27</v>
      </c>
      <c r="D456" t="s">
        <v>15</v>
      </c>
      <c r="E456" s="1">
        <v>46072</v>
      </c>
      <c r="F456" s="1">
        <v>46077</v>
      </c>
      <c r="G456" s="1">
        <v>46083</v>
      </c>
      <c r="H456" t="s">
        <v>32</v>
      </c>
      <c r="I456" t="s">
        <v>25</v>
      </c>
      <c r="J456" t="b">
        <v>1</v>
      </c>
      <c r="K456">
        <v>6</v>
      </c>
      <c r="L456">
        <v>8</v>
      </c>
    </row>
    <row r="457" spans="1:12" x14ac:dyDescent="0.25">
      <c r="A457" t="s">
        <v>515</v>
      </c>
      <c r="B457" t="s">
        <v>75</v>
      </c>
      <c r="C457" t="s">
        <v>14</v>
      </c>
      <c r="D457" t="s">
        <v>15</v>
      </c>
      <c r="E457" s="1">
        <v>45804</v>
      </c>
      <c r="F457" s="1">
        <v>45816</v>
      </c>
      <c r="H457" t="s">
        <v>39</v>
      </c>
      <c r="I457" t="s">
        <v>25</v>
      </c>
      <c r="J457" t="b">
        <v>0</v>
      </c>
      <c r="K457">
        <v>0</v>
      </c>
      <c r="L457">
        <v>4</v>
      </c>
    </row>
    <row r="458" spans="1:12" x14ac:dyDescent="0.25">
      <c r="A458" t="s">
        <v>516</v>
      </c>
      <c r="B458" t="s">
        <v>85</v>
      </c>
      <c r="C458" t="s">
        <v>35</v>
      </c>
      <c r="D458" t="s">
        <v>36</v>
      </c>
      <c r="E458" s="1">
        <v>46062</v>
      </c>
      <c r="F458" s="1">
        <v>46088</v>
      </c>
      <c r="G458" s="1">
        <v>46088</v>
      </c>
      <c r="H458" t="s">
        <v>32</v>
      </c>
      <c r="I458" t="s">
        <v>17</v>
      </c>
      <c r="J458" t="b">
        <v>0</v>
      </c>
      <c r="K458">
        <v>0</v>
      </c>
      <c r="L458">
        <v>5</v>
      </c>
    </row>
    <row r="459" spans="1:12" x14ac:dyDescent="0.25">
      <c r="A459" t="s">
        <v>517</v>
      </c>
      <c r="B459" t="s">
        <v>41</v>
      </c>
      <c r="C459" t="s">
        <v>20</v>
      </c>
      <c r="D459" t="s">
        <v>21</v>
      </c>
      <c r="E459" s="1">
        <v>45952</v>
      </c>
      <c r="F459" s="1">
        <v>45957</v>
      </c>
      <c r="G459" s="1">
        <v>45958</v>
      </c>
      <c r="H459" t="s">
        <v>32</v>
      </c>
      <c r="I459" t="s">
        <v>58</v>
      </c>
      <c r="J459" t="b">
        <v>1</v>
      </c>
      <c r="K459">
        <v>1</v>
      </c>
      <c r="L459">
        <v>8</v>
      </c>
    </row>
    <row r="460" spans="1:12" x14ac:dyDescent="0.25">
      <c r="A460" t="s">
        <v>518</v>
      </c>
      <c r="B460" t="s">
        <v>98</v>
      </c>
      <c r="C460" t="s">
        <v>91</v>
      </c>
      <c r="D460" t="s">
        <v>46</v>
      </c>
      <c r="E460" s="1">
        <v>45994</v>
      </c>
      <c r="F460" s="1">
        <v>46007</v>
      </c>
      <c r="H460" t="s">
        <v>39</v>
      </c>
      <c r="I460" t="s">
        <v>58</v>
      </c>
      <c r="J460" t="b">
        <v>0</v>
      </c>
      <c r="K460">
        <v>0</v>
      </c>
      <c r="L460">
        <v>7</v>
      </c>
    </row>
    <row r="461" spans="1:12" x14ac:dyDescent="0.25">
      <c r="A461" t="s">
        <v>519</v>
      </c>
      <c r="B461" t="s">
        <v>48</v>
      </c>
      <c r="C461" t="s">
        <v>112</v>
      </c>
      <c r="D461" t="s">
        <v>46</v>
      </c>
      <c r="E461" s="1">
        <v>46049</v>
      </c>
      <c r="F461" s="1">
        <v>46066</v>
      </c>
      <c r="G461" s="1">
        <v>46068</v>
      </c>
      <c r="H461" t="s">
        <v>32</v>
      </c>
      <c r="I461" t="s">
        <v>28</v>
      </c>
      <c r="J461" t="b">
        <v>1</v>
      </c>
      <c r="K461">
        <v>2</v>
      </c>
      <c r="L461">
        <v>10</v>
      </c>
    </row>
    <row r="462" spans="1:12" x14ac:dyDescent="0.25">
      <c r="A462" t="s">
        <v>520</v>
      </c>
      <c r="B462" t="s">
        <v>60</v>
      </c>
      <c r="C462" t="s">
        <v>30</v>
      </c>
      <c r="D462" t="s">
        <v>31</v>
      </c>
      <c r="E462" s="1">
        <v>45957</v>
      </c>
      <c r="F462" s="1">
        <v>45970</v>
      </c>
      <c r="G462" s="1">
        <v>45969</v>
      </c>
      <c r="H462" t="s">
        <v>32</v>
      </c>
      <c r="I462" t="s">
        <v>58</v>
      </c>
      <c r="J462" t="b">
        <v>0</v>
      </c>
      <c r="K462">
        <v>0</v>
      </c>
      <c r="L462">
        <v>6</v>
      </c>
    </row>
    <row r="463" spans="1:12" x14ac:dyDescent="0.25">
      <c r="A463" t="s">
        <v>521</v>
      </c>
      <c r="B463" t="s">
        <v>48</v>
      </c>
      <c r="C463" t="s">
        <v>54</v>
      </c>
      <c r="D463" t="s">
        <v>21</v>
      </c>
      <c r="E463" s="1">
        <v>45768</v>
      </c>
      <c r="F463" s="1">
        <v>45780</v>
      </c>
      <c r="H463" t="s">
        <v>24</v>
      </c>
      <c r="I463" t="s">
        <v>28</v>
      </c>
      <c r="J463" t="b">
        <v>0</v>
      </c>
      <c r="K463">
        <v>0</v>
      </c>
      <c r="L463">
        <v>4</v>
      </c>
    </row>
    <row r="464" spans="1:12" x14ac:dyDescent="0.25">
      <c r="A464" t="s">
        <v>522</v>
      </c>
      <c r="B464" t="s">
        <v>60</v>
      </c>
      <c r="C464" t="s">
        <v>35</v>
      </c>
      <c r="D464" t="s">
        <v>36</v>
      </c>
      <c r="E464" s="1">
        <v>45922</v>
      </c>
      <c r="F464" s="1">
        <v>45932</v>
      </c>
      <c r="G464" s="1">
        <v>45939</v>
      </c>
      <c r="H464" t="s">
        <v>32</v>
      </c>
      <c r="I464" t="s">
        <v>17</v>
      </c>
      <c r="J464" t="b">
        <v>1</v>
      </c>
      <c r="K464">
        <v>7</v>
      </c>
      <c r="L464">
        <v>6</v>
      </c>
    </row>
    <row r="465" spans="1:12" x14ac:dyDescent="0.25">
      <c r="A465" t="s">
        <v>523</v>
      </c>
      <c r="B465" t="s">
        <v>48</v>
      </c>
      <c r="C465" t="s">
        <v>30</v>
      </c>
      <c r="D465" t="s">
        <v>31</v>
      </c>
      <c r="E465" s="1">
        <v>45684</v>
      </c>
      <c r="F465" s="1">
        <v>45706</v>
      </c>
      <c r="H465" t="s">
        <v>16</v>
      </c>
      <c r="I465" t="s">
        <v>25</v>
      </c>
      <c r="J465" t="b">
        <v>1</v>
      </c>
      <c r="K465">
        <v>9</v>
      </c>
      <c r="L465">
        <v>6</v>
      </c>
    </row>
    <row r="466" spans="1:12" x14ac:dyDescent="0.25">
      <c r="A466" t="s">
        <v>524</v>
      </c>
      <c r="B466" t="s">
        <v>50</v>
      </c>
      <c r="C466" t="s">
        <v>107</v>
      </c>
      <c r="D466" t="s">
        <v>31</v>
      </c>
      <c r="E466" s="1">
        <v>45699</v>
      </c>
      <c r="F466" s="1">
        <v>45713</v>
      </c>
      <c r="G466" s="1">
        <v>45716</v>
      </c>
      <c r="H466" t="s">
        <v>32</v>
      </c>
      <c r="I466" t="s">
        <v>25</v>
      </c>
      <c r="J466" t="b">
        <v>1</v>
      </c>
      <c r="K466">
        <v>3</v>
      </c>
      <c r="L466">
        <v>7</v>
      </c>
    </row>
    <row r="467" spans="1:12" x14ac:dyDescent="0.25">
      <c r="A467" t="s">
        <v>525</v>
      </c>
      <c r="B467" t="s">
        <v>13</v>
      </c>
      <c r="C467" t="s">
        <v>76</v>
      </c>
      <c r="D467" t="s">
        <v>36</v>
      </c>
      <c r="E467" s="1">
        <v>45983</v>
      </c>
      <c r="F467" s="1">
        <v>46008</v>
      </c>
      <c r="G467" s="1">
        <v>46014</v>
      </c>
      <c r="H467" t="s">
        <v>32</v>
      </c>
      <c r="I467" t="s">
        <v>17</v>
      </c>
      <c r="J467" t="b">
        <v>1</v>
      </c>
      <c r="K467">
        <v>6</v>
      </c>
      <c r="L467">
        <v>2</v>
      </c>
    </row>
    <row r="468" spans="1:12" x14ac:dyDescent="0.25">
      <c r="A468" t="s">
        <v>526</v>
      </c>
      <c r="B468" t="s">
        <v>85</v>
      </c>
      <c r="C468" t="s">
        <v>91</v>
      </c>
      <c r="D468" t="s">
        <v>46</v>
      </c>
      <c r="E468" s="1">
        <v>46037</v>
      </c>
      <c r="F468" s="1">
        <v>46054</v>
      </c>
      <c r="H468" t="s">
        <v>16</v>
      </c>
      <c r="I468" t="s">
        <v>17</v>
      </c>
      <c r="J468" t="b">
        <v>1</v>
      </c>
      <c r="K468">
        <v>17</v>
      </c>
      <c r="L468">
        <v>7</v>
      </c>
    </row>
    <row r="469" spans="1:12" x14ac:dyDescent="0.25">
      <c r="A469" t="s">
        <v>527</v>
      </c>
      <c r="B469" t="s">
        <v>66</v>
      </c>
      <c r="C469" t="s">
        <v>76</v>
      </c>
      <c r="D469" t="s">
        <v>36</v>
      </c>
      <c r="E469" s="1">
        <v>46045</v>
      </c>
      <c r="F469" s="1">
        <v>46068</v>
      </c>
      <c r="G469" s="1">
        <v>46072</v>
      </c>
      <c r="H469" t="s">
        <v>32</v>
      </c>
      <c r="I469" t="s">
        <v>17</v>
      </c>
      <c r="J469" t="b">
        <v>1</v>
      </c>
      <c r="K469">
        <v>4</v>
      </c>
      <c r="L469">
        <v>1</v>
      </c>
    </row>
    <row r="470" spans="1:12" x14ac:dyDescent="0.25">
      <c r="A470" t="s">
        <v>528</v>
      </c>
      <c r="B470" t="s">
        <v>87</v>
      </c>
      <c r="C470" t="s">
        <v>20</v>
      </c>
      <c r="D470" t="s">
        <v>21</v>
      </c>
      <c r="E470" s="1">
        <v>45974</v>
      </c>
      <c r="F470" s="1">
        <v>45985</v>
      </c>
      <c r="G470" s="1">
        <v>45985</v>
      </c>
      <c r="H470" t="s">
        <v>32</v>
      </c>
      <c r="I470" t="s">
        <v>28</v>
      </c>
      <c r="J470" t="b">
        <v>0</v>
      </c>
      <c r="K470">
        <v>0</v>
      </c>
      <c r="L470">
        <v>5</v>
      </c>
    </row>
    <row r="471" spans="1:12" x14ac:dyDescent="0.25">
      <c r="A471" t="s">
        <v>529</v>
      </c>
      <c r="B471" t="s">
        <v>13</v>
      </c>
      <c r="C471" t="s">
        <v>35</v>
      </c>
      <c r="D471" t="s">
        <v>36</v>
      </c>
      <c r="E471" s="1">
        <v>45747</v>
      </c>
      <c r="F471" s="1">
        <v>45757</v>
      </c>
      <c r="H471" t="s">
        <v>16</v>
      </c>
      <c r="I471" t="s">
        <v>25</v>
      </c>
      <c r="J471" t="b">
        <v>1</v>
      </c>
      <c r="K471">
        <v>6</v>
      </c>
      <c r="L471">
        <v>1</v>
      </c>
    </row>
    <row r="472" spans="1:12" x14ac:dyDescent="0.25">
      <c r="A472" t="s">
        <v>530</v>
      </c>
      <c r="B472" t="s">
        <v>57</v>
      </c>
      <c r="C472" t="s">
        <v>54</v>
      </c>
      <c r="D472" t="s">
        <v>21</v>
      </c>
      <c r="E472" s="1">
        <v>45796</v>
      </c>
      <c r="F472" s="1">
        <v>45815</v>
      </c>
      <c r="H472" t="s">
        <v>24</v>
      </c>
      <c r="I472" t="s">
        <v>17</v>
      </c>
      <c r="J472" t="b">
        <v>0</v>
      </c>
      <c r="K472">
        <v>0</v>
      </c>
      <c r="L472">
        <v>10</v>
      </c>
    </row>
    <row r="473" spans="1:12" x14ac:dyDescent="0.25">
      <c r="A473" t="s">
        <v>531</v>
      </c>
      <c r="B473" t="s">
        <v>50</v>
      </c>
      <c r="C473" t="s">
        <v>30</v>
      </c>
      <c r="D473" t="s">
        <v>31</v>
      </c>
      <c r="E473" s="1">
        <v>46062</v>
      </c>
      <c r="F473" s="1">
        <v>46065</v>
      </c>
      <c r="H473" t="s">
        <v>24</v>
      </c>
      <c r="I473" t="s">
        <v>58</v>
      </c>
      <c r="J473" t="b">
        <v>0</v>
      </c>
      <c r="K473">
        <v>0</v>
      </c>
      <c r="L473">
        <v>7</v>
      </c>
    </row>
    <row r="474" spans="1:12" x14ac:dyDescent="0.25">
      <c r="A474" t="s">
        <v>532</v>
      </c>
      <c r="B474" t="s">
        <v>57</v>
      </c>
      <c r="C474" t="s">
        <v>107</v>
      </c>
      <c r="D474" t="s">
        <v>31</v>
      </c>
      <c r="E474" s="1">
        <v>45870</v>
      </c>
      <c r="F474" s="1">
        <v>45879</v>
      </c>
      <c r="H474" t="s">
        <v>16</v>
      </c>
      <c r="I474" t="s">
        <v>25</v>
      </c>
      <c r="J474" t="b">
        <v>1</v>
      </c>
      <c r="K474">
        <v>10</v>
      </c>
      <c r="L474">
        <v>8</v>
      </c>
    </row>
    <row r="475" spans="1:12" x14ac:dyDescent="0.25">
      <c r="A475" t="s">
        <v>533</v>
      </c>
      <c r="B475" t="s">
        <v>85</v>
      </c>
      <c r="C475" t="s">
        <v>112</v>
      </c>
      <c r="D475" t="s">
        <v>46</v>
      </c>
      <c r="E475" s="1">
        <v>45852</v>
      </c>
      <c r="F475" s="1">
        <v>45862</v>
      </c>
      <c r="G475" s="1">
        <v>45865</v>
      </c>
      <c r="H475" t="s">
        <v>32</v>
      </c>
      <c r="I475" t="s">
        <v>28</v>
      </c>
      <c r="J475" t="b">
        <v>1</v>
      </c>
      <c r="K475">
        <v>3</v>
      </c>
      <c r="L475">
        <v>5</v>
      </c>
    </row>
    <row r="476" spans="1:12" x14ac:dyDescent="0.25">
      <c r="A476" t="s">
        <v>534</v>
      </c>
      <c r="B476" t="s">
        <v>48</v>
      </c>
      <c r="C476" t="s">
        <v>52</v>
      </c>
      <c r="D476" t="s">
        <v>31</v>
      </c>
      <c r="E476" s="1">
        <v>45831</v>
      </c>
      <c r="F476" s="1">
        <v>45834</v>
      </c>
      <c r="G476" s="1">
        <v>45833</v>
      </c>
      <c r="H476" t="s">
        <v>32</v>
      </c>
      <c r="I476" t="s">
        <v>25</v>
      </c>
      <c r="J476" t="b">
        <v>0</v>
      </c>
      <c r="K476">
        <v>0</v>
      </c>
      <c r="L476">
        <v>9</v>
      </c>
    </row>
    <row r="477" spans="1:12" x14ac:dyDescent="0.25">
      <c r="A477" t="s">
        <v>535</v>
      </c>
      <c r="B477" t="s">
        <v>41</v>
      </c>
      <c r="C477" t="s">
        <v>38</v>
      </c>
      <c r="D477" t="s">
        <v>15</v>
      </c>
      <c r="E477" s="1">
        <v>46001</v>
      </c>
      <c r="F477" s="1">
        <v>46026</v>
      </c>
      <c r="G477" s="1">
        <v>46028</v>
      </c>
      <c r="H477" t="s">
        <v>32</v>
      </c>
      <c r="I477" t="s">
        <v>28</v>
      </c>
      <c r="J477" t="b">
        <v>1</v>
      </c>
      <c r="K477">
        <v>2</v>
      </c>
      <c r="L477">
        <v>4</v>
      </c>
    </row>
    <row r="478" spans="1:12" x14ac:dyDescent="0.25">
      <c r="A478" t="s">
        <v>536</v>
      </c>
      <c r="B478" t="s">
        <v>50</v>
      </c>
      <c r="C478" t="s">
        <v>52</v>
      </c>
      <c r="D478" t="s">
        <v>31</v>
      </c>
      <c r="E478" s="1">
        <v>45839</v>
      </c>
      <c r="F478" s="1">
        <v>45862</v>
      </c>
      <c r="G478" s="1">
        <v>45860</v>
      </c>
      <c r="H478" t="s">
        <v>32</v>
      </c>
      <c r="I478" t="s">
        <v>58</v>
      </c>
      <c r="J478" t="b">
        <v>0</v>
      </c>
      <c r="K478">
        <v>0</v>
      </c>
      <c r="L478">
        <v>10</v>
      </c>
    </row>
    <row r="479" spans="1:12" x14ac:dyDescent="0.25">
      <c r="A479" t="s">
        <v>537</v>
      </c>
      <c r="B479" t="s">
        <v>41</v>
      </c>
      <c r="C479" t="s">
        <v>30</v>
      </c>
      <c r="D479" t="s">
        <v>31</v>
      </c>
      <c r="E479" s="1">
        <v>45747</v>
      </c>
      <c r="F479" s="1">
        <v>45753</v>
      </c>
      <c r="G479" s="1">
        <v>45756</v>
      </c>
      <c r="H479" t="s">
        <v>32</v>
      </c>
      <c r="I479" t="s">
        <v>25</v>
      </c>
      <c r="J479" t="b">
        <v>1</v>
      </c>
      <c r="K479">
        <v>3</v>
      </c>
      <c r="L479">
        <v>3</v>
      </c>
    </row>
    <row r="480" spans="1:12" x14ac:dyDescent="0.25">
      <c r="A480" t="s">
        <v>538</v>
      </c>
      <c r="B480" t="s">
        <v>75</v>
      </c>
      <c r="C480" t="s">
        <v>27</v>
      </c>
      <c r="D480" t="s">
        <v>15</v>
      </c>
      <c r="E480" s="1">
        <v>46030</v>
      </c>
      <c r="F480" s="1">
        <v>46041</v>
      </c>
      <c r="G480" s="1">
        <v>46040</v>
      </c>
      <c r="H480" t="s">
        <v>32</v>
      </c>
      <c r="I480" t="s">
        <v>17</v>
      </c>
      <c r="J480" t="b">
        <v>0</v>
      </c>
      <c r="K480">
        <v>0</v>
      </c>
      <c r="L480">
        <v>5</v>
      </c>
    </row>
    <row r="481" spans="1:12" x14ac:dyDescent="0.25">
      <c r="A481" t="s">
        <v>539</v>
      </c>
      <c r="B481" t="s">
        <v>44</v>
      </c>
      <c r="C481" t="s">
        <v>38</v>
      </c>
      <c r="D481" t="s">
        <v>15</v>
      </c>
      <c r="E481" s="1">
        <v>45824</v>
      </c>
      <c r="F481" s="1">
        <v>45842</v>
      </c>
      <c r="H481" t="s">
        <v>16</v>
      </c>
      <c r="I481" t="s">
        <v>17</v>
      </c>
      <c r="J481" t="b">
        <v>1</v>
      </c>
      <c r="K481">
        <v>11</v>
      </c>
      <c r="L481">
        <v>5</v>
      </c>
    </row>
    <row r="482" spans="1:12" x14ac:dyDescent="0.25">
      <c r="A482" t="s">
        <v>540</v>
      </c>
      <c r="B482" t="s">
        <v>19</v>
      </c>
      <c r="C482" t="s">
        <v>52</v>
      </c>
      <c r="D482" t="s">
        <v>31</v>
      </c>
      <c r="E482" s="1">
        <v>45985</v>
      </c>
      <c r="F482" s="1">
        <v>46013</v>
      </c>
      <c r="G482" s="1">
        <v>46013</v>
      </c>
      <c r="H482" t="s">
        <v>32</v>
      </c>
      <c r="I482" t="s">
        <v>28</v>
      </c>
      <c r="J482" t="b">
        <v>0</v>
      </c>
      <c r="K482">
        <v>0</v>
      </c>
      <c r="L482">
        <v>1</v>
      </c>
    </row>
    <row r="483" spans="1:12" x14ac:dyDescent="0.25">
      <c r="A483" t="s">
        <v>541</v>
      </c>
      <c r="B483" t="s">
        <v>87</v>
      </c>
      <c r="C483" t="s">
        <v>76</v>
      </c>
      <c r="D483" t="s">
        <v>36</v>
      </c>
      <c r="E483" s="1">
        <v>46033</v>
      </c>
      <c r="F483" s="1">
        <v>46038</v>
      </c>
      <c r="H483" t="s">
        <v>16</v>
      </c>
      <c r="I483" t="s">
        <v>58</v>
      </c>
      <c r="J483" t="b">
        <v>1</v>
      </c>
      <c r="K483">
        <v>2</v>
      </c>
      <c r="L483">
        <v>8</v>
      </c>
    </row>
    <row r="484" spans="1:12" x14ac:dyDescent="0.25">
      <c r="A484" t="s">
        <v>542</v>
      </c>
      <c r="B484" t="s">
        <v>87</v>
      </c>
      <c r="C484" t="s">
        <v>30</v>
      </c>
      <c r="D484" t="s">
        <v>31</v>
      </c>
      <c r="E484" s="1">
        <v>45763</v>
      </c>
      <c r="F484" s="1">
        <v>45778</v>
      </c>
      <c r="H484" t="s">
        <v>16</v>
      </c>
      <c r="I484" t="s">
        <v>58</v>
      </c>
      <c r="J484" t="b">
        <v>1</v>
      </c>
      <c r="K484">
        <v>11</v>
      </c>
      <c r="L484">
        <v>1</v>
      </c>
    </row>
    <row r="485" spans="1:12" x14ac:dyDescent="0.25">
      <c r="A485" t="s">
        <v>543</v>
      </c>
      <c r="B485" t="s">
        <v>50</v>
      </c>
      <c r="C485" t="s">
        <v>38</v>
      </c>
      <c r="D485" t="s">
        <v>15</v>
      </c>
      <c r="E485" s="1">
        <v>45883</v>
      </c>
      <c r="F485" s="1">
        <v>45910</v>
      </c>
      <c r="G485" s="1">
        <v>45917</v>
      </c>
      <c r="H485" t="s">
        <v>32</v>
      </c>
      <c r="I485" t="s">
        <v>17</v>
      </c>
      <c r="J485" t="b">
        <v>1</v>
      </c>
      <c r="K485">
        <v>7</v>
      </c>
      <c r="L485">
        <v>5</v>
      </c>
    </row>
    <row r="486" spans="1:12" x14ac:dyDescent="0.25">
      <c r="A486" t="s">
        <v>544</v>
      </c>
      <c r="B486" t="s">
        <v>60</v>
      </c>
      <c r="C486" t="s">
        <v>27</v>
      </c>
      <c r="D486" t="s">
        <v>15</v>
      </c>
      <c r="E486" s="1">
        <v>45872</v>
      </c>
      <c r="F486" s="1">
        <v>45877</v>
      </c>
      <c r="G486" s="1">
        <v>45883</v>
      </c>
      <c r="H486" t="s">
        <v>32</v>
      </c>
      <c r="I486" t="s">
        <v>25</v>
      </c>
      <c r="J486" t="b">
        <v>1</v>
      </c>
      <c r="K486">
        <v>6</v>
      </c>
      <c r="L486">
        <v>2</v>
      </c>
    </row>
    <row r="487" spans="1:12" x14ac:dyDescent="0.25">
      <c r="A487" t="s">
        <v>545</v>
      </c>
      <c r="B487" t="s">
        <v>44</v>
      </c>
      <c r="C487" t="s">
        <v>14</v>
      </c>
      <c r="D487" t="s">
        <v>15</v>
      </c>
      <c r="E487" s="1">
        <v>45846</v>
      </c>
      <c r="F487" s="1">
        <v>45850</v>
      </c>
      <c r="G487" s="1">
        <v>45851</v>
      </c>
      <c r="H487" t="s">
        <v>32</v>
      </c>
      <c r="I487" t="s">
        <v>17</v>
      </c>
      <c r="J487" t="b">
        <v>1</v>
      </c>
      <c r="K487">
        <v>1</v>
      </c>
      <c r="L487">
        <v>7</v>
      </c>
    </row>
    <row r="488" spans="1:12" x14ac:dyDescent="0.25">
      <c r="A488" t="s">
        <v>546</v>
      </c>
      <c r="B488" t="s">
        <v>63</v>
      </c>
      <c r="C488" t="s">
        <v>42</v>
      </c>
      <c r="D488" t="s">
        <v>36</v>
      </c>
      <c r="E488" s="1">
        <v>45795</v>
      </c>
      <c r="F488" s="1">
        <v>45818</v>
      </c>
      <c r="G488" s="1">
        <v>45818</v>
      </c>
      <c r="H488" t="s">
        <v>32</v>
      </c>
      <c r="I488" t="s">
        <v>17</v>
      </c>
      <c r="J488" t="b">
        <v>0</v>
      </c>
      <c r="K488">
        <v>0</v>
      </c>
      <c r="L488">
        <v>6</v>
      </c>
    </row>
    <row r="489" spans="1:12" x14ac:dyDescent="0.25">
      <c r="A489" t="s">
        <v>547</v>
      </c>
      <c r="B489" t="s">
        <v>57</v>
      </c>
      <c r="C489" t="s">
        <v>61</v>
      </c>
      <c r="D489" t="s">
        <v>21</v>
      </c>
      <c r="E489" s="1">
        <v>45928</v>
      </c>
      <c r="F489" s="1">
        <v>45946</v>
      </c>
      <c r="H489" t="s">
        <v>16</v>
      </c>
      <c r="I489" t="s">
        <v>28</v>
      </c>
      <c r="J489" t="b">
        <v>1</v>
      </c>
      <c r="K489">
        <v>3</v>
      </c>
      <c r="L489">
        <v>4</v>
      </c>
    </row>
    <row r="490" spans="1:12" x14ac:dyDescent="0.25">
      <c r="A490" t="s">
        <v>548</v>
      </c>
      <c r="B490" t="s">
        <v>23</v>
      </c>
      <c r="C490" t="s">
        <v>27</v>
      </c>
      <c r="D490" t="s">
        <v>15</v>
      </c>
      <c r="E490" s="1">
        <v>45725</v>
      </c>
      <c r="F490" s="1">
        <v>45743</v>
      </c>
      <c r="G490" s="1">
        <v>45741</v>
      </c>
      <c r="H490" t="s">
        <v>32</v>
      </c>
      <c r="I490" t="s">
        <v>25</v>
      </c>
      <c r="J490" t="b">
        <v>0</v>
      </c>
      <c r="K490">
        <v>0</v>
      </c>
      <c r="L490">
        <v>7</v>
      </c>
    </row>
    <row r="491" spans="1:12" x14ac:dyDescent="0.25">
      <c r="A491" t="s">
        <v>549</v>
      </c>
      <c r="B491" t="s">
        <v>60</v>
      </c>
      <c r="C491" t="s">
        <v>14</v>
      </c>
      <c r="D491" t="s">
        <v>15</v>
      </c>
      <c r="E491" s="1">
        <v>45678</v>
      </c>
      <c r="F491" s="1">
        <v>45690</v>
      </c>
      <c r="H491" t="s">
        <v>39</v>
      </c>
      <c r="I491" t="s">
        <v>17</v>
      </c>
      <c r="J491" t="b">
        <v>0</v>
      </c>
      <c r="K491">
        <v>0</v>
      </c>
      <c r="L491">
        <v>1</v>
      </c>
    </row>
    <row r="492" spans="1:12" x14ac:dyDescent="0.25">
      <c r="A492" t="s">
        <v>550</v>
      </c>
      <c r="B492" t="s">
        <v>78</v>
      </c>
      <c r="C492" t="s">
        <v>38</v>
      </c>
      <c r="D492" t="s">
        <v>15</v>
      </c>
      <c r="E492" s="1">
        <v>46037</v>
      </c>
      <c r="F492" s="1">
        <v>46049</v>
      </c>
      <c r="H492" t="s">
        <v>24</v>
      </c>
      <c r="I492" t="s">
        <v>58</v>
      </c>
      <c r="J492" t="b">
        <v>0</v>
      </c>
      <c r="K492">
        <v>0</v>
      </c>
      <c r="L492">
        <v>4</v>
      </c>
    </row>
    <row r="493" spans="1:12" x14ac:dyDescent="0.25">
      <c r="A493" t="s">
        <v>551</v>
      </c>
      <c r="B493" t="s">
        <v>90</v>
      </c>
      <c r="C493" t="s">
        <v>91</v>
      </c>
      <c r="D493" t="s">
        <v>46</v>
      </c>
      <c r="E493" s="1">
        <v>45773</v>
      </c>
      <c r="F493" s="1">
        <v>45786</v>
      </c>
      <c r="H493" t="s">
        <v>39</v>
      </c>
      <c r="I493" t="s">
        <v>17</v>
      </c>
      <c r="J493" t="b">
        <v>0</v>
      </c>
      <c r="K493">
        <v>0</v>
      </c>
      <c r="L493">
        <v>1</v>
      </c>
    </row>
    <row r="494" spans="1:12" x14ac:dyDescent="0.25">
      <c r="A494" t="s">
        <v>552</v>
      </c>
      <c r="B494" t="s">
        <v>85</v>
      </c>
      <c r="C494" t="s">
        <v>54</v>
      </c>
      <c r="D494" t="s">
        <v>21</v>
      </c>
      <c r="E494" s="1">
        <v>45757</v>
      </c>
      <c r="F494" s="1">
        <v>45781</v>
      </c>
      <c r="H494" t="s">
        <v>24</v>
      </c>
      <c r="I494" t="s">
        <v>28</v>
      </c>
      <c r="J494" t="b">
        <v>0</v>
      </c>
      <c r="K494">
        <v>0</v>
      </c>
      <c r="L494">
        <v>7</v>
      </c>
    </row>
    <row r="495" spans="1:12" x14ac:dyDescent="0.25">
      <c r="A495" t="s">
        <v>553</v>
      </c>
      <c r="B495" t="s">
        <v>57</v>
      </c>
      <c r="C495" t="s">
        <v>35</v>
      </c>
      <c r="D495" t="s">
        <v>36</v>
      </c>
      <c r="E495" s="1">
        <v>45769</v>
      </c>
      <c r="F495" s="1">
        <v>45786</v>
      </c>
      <c r="H495" t="s">
        <v>16</v>
      </c>
      <c r="I495" t="s">
        <v>25</v>
      </c>
      <c r="J495" t="b">
        <v>1</v>
      </c>
      <c r="K495">
        <v>11</v>
      </c>
      <c r="L495">
        <v>8</v>
      </c>
    </row>
    <row r="496" spans="1:12" x14ac:dyDescent="0.25">
      <c r="A496" t="s">
        <v>554</v>
      </c>
      <c r="B496" t="s">
        <v>19</v>
      </c>
      <c r="C496" t="s">
        <v>38</v>
      </c>
      <c r="D496" t="s">
        <v>15</v>
      </c>
      <c r="E496" s="1">
        <v>45964</v>
      </c>
      <c r="F496" s="1">
        <v>45991</v>
      </c>
      <c r="H496" t="s">
        <v>39</v>
      </c>
      <c r="I496" t="s">
        <v>28</v>
      </c>
      <c r="J496" t="b">
        <v>0</v>
      </c>
      <c r="K496">
        <v>0</v>
      </c>
      <c r="L496">
        <v>3</v>
      </c>
    </row>
    <row r="497" spans="1:12" x14ac:dyDescent="0.25">
      <c r="A497" t="s">
        <v>555</v>
      </c>
      <c r="B497" t="s">
        <v>34</v>
      </c>
      <c r="C497" t="s">
        <v>107</v>
      </c>
      <c r="D497" t="s">
        <v>31</v>
      </c>
      <c r="E497" s="1">
        <v>45814</v>
      </c>
      <c r="F497" s="1">
        <v>45819</v>
      </c>
      <c r="G497" s="1">
        <v>45820</v>
      </c>
      <c r="H497" t="s">
        <v>32</v>
      </c>
      <c r="I497" t="s">
        <v>17</v>
      </c>
      <c r="J497" t="b">
        <v>1</v>
      </c>
      <c r="K497">
        <v>1</v>
      </c>
      <c r="L497">
        <v>10</v>
      </c>
    </row>
    <row r="498" spans="1:12" x14ac:dyDescent="0.25">
      <c r="A498" t="s">
        <v>556</v>
      </c>
      <c r="B498" t="s">
        <v>70</v>
      </c>
      <c r="C498" t="s">
        <v>45</v>
      </c>
      <c r="D498" t="s">
        <v>46</v>
      </c>
      <c r="E498" s="1">
        <v>46001</v>
      </c>
      <c r="F498" s="1">
        <v>46007</v>
      </c>
      <c r="G498" s="1">
        <v>46005</v>
      </c>
      <c r="H498" t="s">
        <v>32</v>
      </c>
      <c r="I498" t="s">
        <v>17</v>
      </c>
      <c r="J498" t="b">
        <v>0</v>
      </c>
      <c r="K498">
        <v>0</v>
      </c>
      <c r="L498">
        <v>9</v>
      </c>
    </row>
    <row r="499" spans="1:12" x14ac:dyDescent="0.25">
      <c r="A499" t="s">
        <v>557</v>
      </c>
      <c r="B499" t="s">
        <v>70</v>
      </c>
      <c r="C499" t="s">
        <v>54</v>
      </c>
      <c r="D499" t="s">
        <v>21</v>
      </c>
      <c r="E499" s="1">
        <v>46075</v>
      </c>
      <c r="F499" s="1">
        <v>46097</v>
      </c>
      <c r="G499" s="1">
        <v>46096</v>
      </c>
      <c r="H499" t="s">
        <v>32</v>
      </c>
      <c r="I499" t="s">
        <v>17</v>
      </c>
      <c r="J499" t="b">
        <v>0</v>
      </c>
      <c r="K499">
        <v>0</v>
      </c>
      <c r="L499">
        <v>2</v>
      </c>
    </row>
    <row r="500" spans="1:12" x14ac:dyDescent="0.25">
      <c r="A500" t="s">
        <v>558</v>
      </c>
      <c r="B500" t="s">
        <v>78</v>
      </c>
      <c r="C500" t="s">
        <v>14</v>
      </c>
      <c r="D500" t="s">
        <v>15</v>
      </c>
      <c r="E500" s="1">
        <v>45684</v>
      </c>
      <c r="F500" s="1">
        <v>45709</v>
      </c>
      <c r="H500" t="s">
        <v>24</v>
      </c>
      <c r="I500" t="s">
        <v>17</v>
      </c>
      <c r="J500" t="b">
        <v>0</v>
      </c>
      <c r="K500">
        <v>0</v>
      </c>
      <c r="L500">
        <v>3</v>
      </c>
    </row>
    <row r="501" spans="1:12" x14ac:dyDescent="0.25">
      <c r="A501" t="s">
        <v>559</v>
      </c>
      <c r="B501" t="s">
        <v>70</v>
      </c>
      <c r="C501" t="s">
        <v>112</v>
      </c>
      <c r="D501" t="s">
        <v>46</v>
      </c>
      <c r="E501" s="1">
        <v>45971</v>
      </c>
      <c r="F501" s="1">
        <v>45979</v>
      </c>
      <c r="G501" s="1">
        <v>45986</v>
      </c>
      <c r="H501" t="s">
        <v>32</v>
      </c>
      <c r="I501" t="s">
        <v>17</v>
      </c>
      <c r="J501" t="b">
        <v>1</v>
      </c>
      <c r="K501">
        <v>7</v>
      </c>
      <c r="L501">
        <v>8</v>
      </c>
    </row>
    <row r="502" spans="1:12" x14ac:dyDescent="0.25">
      <c r="A502" t="s">
        <v>560</v>
      </c>
      <c r="B502" t="s">
        <v>63</v>
      </c>
      <c r="C502" t="s">
        <v>76</v>
      </c>
      <c r="D502" t="s">
        <v>36</v>
      </c>
      <c r="E502" s="1">
        <v>45998</v>
      </c>
      <c r="F502" s="1">
        <v>46011</v>
      </c>
      <c r="G502" s="1">
        <v>46018</v>
      </c>
      <c r="H502" t="s">
        <v>32</v>
      </c>
      <c r="I502" t="s">
        <v>17</v>
      </c>
      <c r="J502" t="b">
        <v>1</v>
      </c>
      <c r="K502">
        <v>7</v>
      </c>
      <c r="L502">
        <v>6</v>
      </c>
    </row>
    <row r="503" spans="1:12" x14ac:dyDescent="0.25">
      <c r="A503" t="s">
        <v>561</v>
      </c>
      <c r="B503" t="s">
        <v>75</v>
      </c>
      <c r="C503" t="s">
        <v>20</v>
      </c>
      <c r="D503" t="s">
        <v>21</v>
      </c>
      <c r="E503" s="1">
        <v>45874</v>
      </c>
      <c r="F503" s="1">
        <v>45899</v>
      </c>
      <c r="G503" s="1">
        <v>45902</v>
      </c>
      <c r="H503" t="s">
        <v>32</v>
      </c>
      <c r="I503" t="s">
        <v>28</v>
      </c>
      <c r="J503" t="b">
        <v>1</v>
      </c>
      <c r="K503">
        <v>3</v>
      </c>
      <c r="L503">
        <v>2</v>
      </c>
    </row>
    <row r="504" spans="1:12" x14ac:dyDescent="0.25">
      <c r="A504" t="s">
        <v>562</v>
      </c>
      <c r="B504" t="s">
        <v>78</v>
      </c>
      <c r="C504" t="s">
        <v>76</v>
      </c>
      <c r="D504" t="s">
        <v>36</v>
      </c>
      <c r="E504" s="1">
        <v>45921</v>
      </c>
      <c r="F504" s="1">
        <v>45933</v>
      </c>
      <c r="H504" t="s">
        <v>24</v>
      </c>
      <c r="I504" t="s">
        <v>17</v>
      </c>
      <c r="J504" t="b">
        <v>0</v>
      </c>
      <c r="K504">
        <v>0</v>
      </c>
      <c r="L504">
        <v>1</v>
      </c>
    </row>
    <row r="505" spans="1:12" x14ac:dyDescent="0.25">
      <c r="A505" t="s">
        <v>563</v>
      </c>
      <c r="B505" t="s">
        <v>78</v>
      </c>
      <c r="C505" t="s">
        <v>52</v>
      </c>
      <c r="D505" t="s">
        <v>31</v>
      </c>
      <c r="E505" s="1">
        <v>46017</v>
      </c>
      <c r="F505" s="1">
        <v>46036</v>
      </c>
      <c r="H505" t="s">
        <v>24</v>
      </c>
      <c r="I505" t="s">
        <v>17</v>
      </c>
      <c r="J505" t="b">
        <v>0</v>
      </c>
      <c r="K505">
        <v>0</v>
      </c>
      <c r="L505">
        <v>3</v>
      </c>
    </row>
    <row r="506" spans="1:12" x14ac:dyDescent="0.25">
      <c r="A506" t="s">
        <v>564</v>
      </c>
      <c r="B506" t="s">
        <v>41</v>
      </c>
      <c r="C506" t="s">
        <v>107</v>
      </c>
      <c r="D506" t="s">
        <v>31</v>
      </c>
      <c r="E506" s="1">
        <v>45780</v>
      </c>
      <c r="F506" s="1">
        <v>45805</v>
      </c>
      <c r="G506" s="1">
        <v>45808</v>
      </c>
      <c r="H506" t="s">
        <v>32</v>
      </c>
      <c r="I506" t="s">
        <v>17</v>
      </c>
      <c r="J506" t="b">
        <v>1</v>
      </c>
      <c r="K506">
        <v>3</v>
      </c>
      <c r="L506">
        <v>6</v>
      </c>
    </row>
    <row r="507" spans="1:12" x14ac:dyDescent="0.25">
      <c r="A507" t="s">
        <v>565</v>
      </c>
      <c r="B507" t="s">
        <v>48</v>
      </c>
      <c r="C507" t="s">
        <v>107</v>
      </c>
      <c r="D507" t="s">
        <v>31</v>
      </c>
      <c r="E507" s="1">
        <v>45924</v>
      </c>
      <c r="F507" s="1">
        <v>45931</v>
      </c>
      <c r="G507" s="1">
        <v>45931</v>
      </c>
      <c r="H507" t="s">
        <v>32</v>
      </c>
      <c r="I507" t="s">
        <v>17</v>
      </c>
      <c r="J507" t="b">
        <v>0</v>
      </c>
      <c r="K507">
        <v>0</v>
      </c>
      <c r="L507">
        <v>9</v>
      </c>
    </row>
    <row r="508" spans="1:12" x14ac:dyDescent="0.25">
      <c r="A508" t="s">
        <v>566</v>
      </c>
      <c r="B508" t="s">
        <v>90</v>
      </c>
      <c r="C508" t="s">
        <v>76</v>
      </c>
      <c r="D508" t="s">
        <v>36</v>
      </c>
      <c r="E508" s="1">
        <v>45924</v>
      </c>
      <c r="F508" s="1">
        <v>45934</v>
      </c>
      <c r="H508" t="s">
        <v>24</v>
      </c>
      <c r="I508" t="s">
        <v>25</v>
      </c>
      <c r="J508" t="b">
        <v>0</v>
      </c>
      <c r="K508">
        <v>0</v>
      </c>
      <c r="L508">
        <v>8</v>
      </c>
    </row>
    <row r="509" spans="1:12" x14ac:dyDescent="0.25">
      <c r="A509" t="s">
        <v>567</v>
      </c>
      <c r="B509" t="s">
        <v>87</v>
      </c>
      <c r="C509" t="s">
        <v>42</v>
      </c>
      <c r="D509" t="s">
        <v>36</v>
      </c>
      <c r="E509" s="1">
        <v>45824</v>
      </c>
      <c r="F509" s="1">
        <v>45841</v>
      </c>
      <c r="H509" t="s">
        <v>16</v>
      </c>
      <c r="I509" t="s">
        <v>17</v>
      </c>
      <c r="J509" t="b">
        <v>1</v>
      </c>
      <c r="K509">
        <v>6</v>
      </c>
      <c r="L509">
        <v>1</v>
      </c>
    </row>
    <row r="510" spans="1:12" x14ac:dyDescent="0.25">
      <c r="A510" t="s">
        <v>568</v>
      </c>
      <c r="B510" t="s">
        <v>66</v>
      </c>
      <c r="C510" t="s">
        <v>42</v>
      </c>
      <c r="D510" t="s">
        <v>36</v>
      </c>
      <c r="E510" s="1">
        <v>45730</v>
      </c>
      <c r="F510" s="1">
        <v>45743</v>
      </c>
      <c r="G510" s="1">
        <v>45750</v>
      </c>
      <c r="H510" t="s">
        <v>32</v>
      </c>
      <c r="I510" t="s">
        <v>58</v>
      </c>
      <c r="J510" t="b">
        <v>1</v>
      </c>
      <c r="K510">
        <v>7</v>
      </c>
      <c r="L510">
        <v>4</v>
      </c>
    </row>
    <row r="511" spans="1:12" x14ac:dyDescent="0.25">
      <c r="A511" t="s">
        <v>569</v>
      </c>
      <c r="B511" t="s">
        <v>41</v>
      </c>
      <c r="C511" t="s">
        <v>107</v>
      </c>
      <c r="D511" t="s">
        <v>31</v>
      </c>
      <c r="E511" s="1">
        <v>45759</v>
      </c>
      <c r="F511" s="1">
        <v>45771</v>
      </c>
      <c r="G511" s="1">
        <v>45769</v>
      </c>
      <c r="H511" t="s">
        <v>32</v>
      </c>
      <c r="I511" t="s">
        <v>17</v>
      </c>
      <c r="J511" t="b">
        <v>0</v>
      </c>
      <c r="K511">
        <v>0</v>
      </c>
      <c r="L511">
        <v>10</v>
      </c>
    </row>
    <row r="512" spans="1:12" x14ac:dyDescent="0.25">
      <c r="A512" t="s">
        <v>570</v>
      </c>
      <c r="B512" t="s">
        <v>44</v>
      </c>
      <c r="C512" t="s">
        <v>61</v>
      </c>
      <c r="D512" t="s">
        <v>21</v>
      </c>
      <c r="E512" s="1">
        <v>45916</v>
      </c>
      <c r="F512" s="1">
        <v>45921</v>
      </c>
      <c r="H512" t="s">
        <v>16</v>
      </c>
      <c r="I512" t="s">
        <v>28</v>
      </c>
      <c r="J512" t="b">
        <v>1</v>
      </c>
      <c r="K512">
        <v>18</v>
      </c>
      <c r="L512">
        <v>9</v>
      </c>
    </row>
    <row r="513" spans="1:12" x14ac:dyDescent="0.25">
      <c r="A513" t="s">
        <v>571</v>
      </c>
      <c r="B513" t="s">
        <v>13</v>
      </c>
      <c r="C513" t="s">
        <v>52</v>
      </c>
      <c r="D513" t="s">
        <v>31</v>
      </c>
      <c r="E513" s="1">
        <v>46092</v>
      </c>
      <c r="F513" s="1">
        <v>46119</v>
      </c>
      <c r="G513" s="1">
        <v>46126</v>
      </c>
      <c r="H513" t="s">
        <v>32</v>
      </c>
      <c r="I513" t="s">
        <v>25</v>
      </c>
      <c r="J513" t="b">
        <v>1</v>
      </c>
      <c r="K513">
        <v>7</v>
      </c>
      <c r="L513">
        <v>2</v>
      </c>
    </row>
    <row r="514" spans="1:12" x14ac:dyDescent="0.25">
      <c r="A514" t="s">
        <v>572</v>
      </c>
      <c r="B514" t="s">
        <v>57</v>
      </c>
      <c r="C514" t="s">
        <v>112</v>
      </c>
      <c r="D514" t="s">
        <v>46</v>
      </c>
      <c r="E514" s="1">
        <v>45994</v>
      </c>
      <c r="F514" s="1">
        <v>46019</v>
      </c>
      <c r="H514" t="s">
        <v>24</v>
      </c>
      <c r="I514" t="s">
        <v>17</v>
      </c>
      <c r="J514" t="b">
        <v>0</v>
      </c>
      <c r="K514">
        <v>0</v>
      </c>
      <c r="L514">
        <v>7</v>
      </c>
    </row>
    <row r="515" spans="1:12" x14ac:dyDescent="0.25">
      <c r="A515" t="s">
        <v>573</v>
      </c>
      <c r="B515" t="s">
        <v>78</v>
      </c>
      <c r="C515" t="s">
        <v>35</v>
      </c>
      <c r="D515" t="s">
        <v>36</v>
      </c>
      <c r="E515" s="1">
        <v>46085</v>
      </c>
      <c r="F515" s="1">
        <v>46101</v>
      </c>
      <c r="H515" t="s">
        <v>24</v>
      </c>
      <c r="I515" t="s">
        <v>58</v>
      </c>
      <c r="J515" t="b">
        <v>0</v>
      </c>
      <c r="K515">
        <v>0</v>
      </c>
      <c r="L515">
        <v>5</v>
      </c>
    </row>
    <row r="516" spans="1:12" x14ac:dyDescent="0.25">
      <c r="A516" t="s">
        <v>574</v>
      </c>
      <c r="B516" t="s">
        <v>70</v>
      </c>
      <c r="C516" t="s">
        <v>61</v>
      </c>
      <c r="D516" t="s">
        <v>21</v>
      </c>
      <c r="E516" s="1">
        <v>45954</v>
      </c>
      <c r="F516" s="1">
        <v>45982</v>
      </c>
      <c r="G516" s="1">
        <v>45980</v>
      </c>
      <c r="H516" t="s">
        <v>32</v>
      </c>
      <c r="I516" t="s">
        <v>28</v>
      </c>
      <c r="J516" t="b">
        <v>0</v>
      </c>
      <c r="K516">
        <v>0</v>
      </c>
      <c r="L516">
        <v>6</v>
      </c>
    </row>
    <row r="517" spans="1:12" x14ac:dyDescent="0.25">
      <c r="A517" t="s">
        <v>575</v>
      </c>
      <c r="B517" t="s">
        <v>23</v>
      </c>
      <c r="C517" t="s">
        <v>20</v>
      </c>
      <c r="D517" t="s">
        <v>21</v>
      </c>
      <c r="E517" s="1">
        <v>46050</v>
      </c>
      <c r="F517" s="1">
        <v>46056</v>
      </c>
      <c r="G517" s="1">
        <v>46056</v>
      </c>
      <c r="H517" t="s">
        <v>32</v>
      </c>
      <c r="I517" t="s">
        <v>17</v>
      </c>
      <c r="J517" t="b">
        <v>0</v>
      </c>
      <c r="K517">
        <v>0</v>
      </c>
      <c r="L517">
        <v>7</v>
      </c>
    </row>
    <row r="518" spans="1:12" x14ac:dyDescent="0.25">
      <c r="A518" t="s">
        <v>576</v>
      </c>
      <c r="B518" t="s">
        <v>41</v>
      </c>
      <c r="C518" t="s">
        <v>14</v>
      </c>
      <c r="D518" t="s">
        <v>15</v>
      </c>
      <c r="E518" s="1">
        <v>45667</v>
      </c>
      <c r="F518" s="1">
        <v>45676</v>
      </c>
      <c r="H518" t="s">
        <v>16</v>
      </c>
      <c r="I518" t="s">
        <v>28</v>
      </c>
      <c r="J518" t="b">
        <v>1</v>
      </c>
      <c r="K518">
        <v>18</v>
      </c>
      <c r="L518">
        <v>4</v>
      </c>
    </row>
    <row r="519" spans="1:12" x14ac:dyDescent="0.25">
      <c r="A519" t="s">
        <v>577</v>
      </c>
      <c r="B519" t="s">
        <v>85</v>
      </c>
      <c r="C519" t="s">
        <v>91</v>
      </c>
      <c r="D519" t="s">
        <v>46</v>
      </c>
      <c r="E519" s="1">
        <v>46021</v>
      </c>
      <c r="F519" s="1">
        <v>46033</v>
      </c>
      <c r="G519" s="1">
        <v>46038</v>
      </c>
      <c r="H519" t="s">
        <v>32</v>
      </c>
      <c r="I519" t="s">
        <v>28</v>
      </c>
      <c r="J519" t="b">
        <v>1</v>
      </c>
      <c r="K519">
        <v>5</v>
      </c>
      <c r="L519">
        <v>4</v>
      </c>
    </row>
    <row r="520" spans="1:12" x14ac:dyDescent="0.25">
      <c r="A520" t="s">
        <v>578</v>
      </c>
      <c r="B520" t="s">
        <v>70</v>
      </c>
      <c r="C520" t="s">
        <v>52</v>
      </c>
      <c r="D520" t="s">
        <v>31</v>
      </c>
      <c r="E520" s="1">
        <v>45680</v>
      </c>
      <c r="F520" s="1">
        <v>45707</v>
      </c>
      <c r="G520" s="1">
        <v>45714</v>
      </c>
      <c r="H520" t="s">
        <v>32</v>
      </c>
      <c r="I520" t="s">
        <v>25</v>
      </c>
      <c r="J520" t="b">
        <v>1</v>
      </c>
      <c r="K520">
        <v>7</v>
      </c>
      <c r="L520">
        <v>10</v>
      </c>
    </row>
    <row r="521" spans="1:12" x14ac:dyDescent="0.25">
      <c r="A521" t="s">
        <v>579</v>
      </c>
      <c r="B521" t="s">
        <v>68</v>
      </c>
      <c r="C521" t="s">
        <v>61</v>
      </c>
      <c r="D521" t="s">
        <v>21</v>
      </c>
      <c r="E521" s="1">
        <v>45889</v>
      </c>
      <c r="F521" s="1">
        <v>45910</v>
      </c>
      <c r="H521" t="s">
        <v>24</v>
      </c>
      <c r="I521" t="s">
        <v>17</v>
      </c>
      <c r="J521" t="b">
        <v>0</v>
      </c>
      <c r="K521">
        <v>0</v>
      </c>
      <c r="L521">
        <v>7</v>
      </c>
    </row>
    <row r="522" spans="1:12" x14ac:dyDescent="0.25">
      <c r="A522" t="s">
        <v>580</v>
      </c>
      <c r="B522" t="s">
        <v>66</v>
      </c>
      <c r="C522" t="s">
        <v>20</v>
      </c>
      <c r="D522" t="s">
        <v>21</v>
      </c>
      <c r="E522" s="1">
        <v>46009</v>
      </c>
      <c r="F522" s="1">
        <v>46015</v>
      </c>
      <c r="H522" t="s">
        <v>24</v>
      </c>
      <c r="I522" t="s">
        <v>25</v>
      </c>
      <c r="J522" t="b">
        <v>0</v>
      </c>
      <c r="K522">
        <v>0</v>
      </c>
      <c r="L522">
        <v>1</v>
      </c>
    </row>
    <row r="523" spans="1:12" x14ac:dyDescent="0.25">
      <c r="A523" t="s">
        <v>581</v>
      </c>
      <c r="B523" t="s">
        <v>19</v>
      </c>
      <c r="C523" t="s">
        <v>42</v>
      </c>
      <c r="D523" t="s">
        <v>36</v>
      </c>
      <c r="E523" s="1">
        <v>45658</v>
      </c>
      <c r="F523" s="1">
        <v>45672</v>
      </c>
      <c r="G523" s="1">
        <v>45675</v>
      </c>
      <c r="H523" t="s">
        <v>32</v>
      </c>
      <c r="I523" t="s">
        <v>58</v>
      </c>
      <c r="J523" t="b">
        <v>1</v>
      </c>
      <c r="K523">
        <v>3</v>
      </c>
      <c r="L523">
        <v>4</v>
      </c>
    </row>
    <row r="524" spans="1:12" x14ac:dyDescent="0.25">
      <c r="A524" t="s">
        <v>582</v>
      </c>
      <c r="B524" t="s">
        <v>48</v>
      </c>
      <c r="C524" t="s">
        <v>42</v>
      </c>
      <c r="D524" t="s">
        <v>36</v>
      </c>
      <c r="E524" s="1">
        <v>45678</v>
      </c>
      <c r="F524" s="1">
        <v>45707</v>
      </c>
      <c r="G524" s="1">
        <v>45709</v>
      </c>
      <c r="H524" t="s">
        <v>32</v>
      </c>
      <c r="I524" t="s">
        <v>28</v>
      </c>
      <c r="J524" t="b">
        <v>1</v>
      </c>
      <c r="K524">
        <v>2</v>
      </c>
      <c r="L524">
        <v>9</v>
      </c>
    </row>
    <row r="525" spans="1:12" x14ac:dyDescent="0.25">
      <c r="A525" t="s">
        <v>583</v>
      </c>
      <c r="B525" t="s">
        <v>19</v>
      </c>
      <c r="C525" t="s">
        <v>54</v>
      </c>
      <c r="D525" t="s">
        <v>21</v>
      </c>
      <c r="E525" s="1">
        <v>45767</v>
      </c>
      <c r="F525" s="1">
        <v>45783</v>
      </c>
      <c r="G525" s="1">
        <v>45782</v>
      </c>
      <c r="H525" t="s">
        <v>32</v>
      </c>
      <c r="I525" t="s">
        <v>28</v>
      </c>
      <c r="J525" t="b">
        <v>0</v>
      </c>
      <c r="K525">
        <v>0</v>
      </c>
      <c r="L525">
        <v>6</v>
      </c>
    </row>
    <row r="526" spans="1:12" x14ac:dyDescent="0.25">
      <c r="A526" t="s">
        <v>584</v>
      </c>
      <c r="B526" t="s">
        <v>63</v>
      </c>
      <c r="C526" t="s">
        <v>52</v>
      </c>
      <c r="D526" t="s">
        <v>31</v>
      </c>
      <c r="E526" s="1">
        <v>46104</v>
      </c>
      <c r="F526" s="1">
        <v>46107</v>
      </c>
      <c r="G526" s="1">
        <v>46107</v>
      </c>
      <c r="H526" t="s">
        <v>32</v>
      </c>
      <c r="I526" t="s">
        <v>25</v>
      </c>
      <c r="J526" t="b">
        <v>0</v>
      </c>
      <c r="K526">
        <v>0</v>
      </c>
      <c r="L526">
        <v>6</v>
      </c>
    </row>
    <row r="527" spans="1:12" x14ac:dyDescent="0.25">
      <c r="A527" t="s">
        <v>585</v>
      </c>
      <c r="B527" t="s">
        <v>68</v>
      </c>
      <c r="C527" t="s">
        <v>45</v>
      </c>
      <c r="D527" t="s">
        <v>46</v>
      </c>
      <c r="E527" s="1">
        <v>45934</v>
      </c>
      <c r="F527" s="1">
        <v>45955</v>
      </c>
      <c r="G527" s="1">
        <v>45954</v>
      </c>
      <c r="H527" t="s">
        <v>32</v>
      </c>
      <c r="I527" t="s">
        <v>17</v>
      </c>
      <c r="J527" t="b">
        <v>0</v>
      </c>
      <c r="K527">
        <v>0</v>
      </c>
      <c r="L527">
        <v>9</v>
      </c>
    </row>
    <row r="528" spans="1:12" x14ac:dyDescent="0.25">
      <c r="A528" t="s">
        <v>586</v>
      </c>
      <c r="B528" t="s">
        <v>48</v>
      </c>
      <c r="C528" t="s">
        <v>38</v>
      </c>
      <c r="D528" t="s">
        <v>15</v>
      </c>
      <c r="E528" s="1">
        <v>45872</v>
      </c>
      <c r="F528" s="1">
        <v>45876</v>
      </c>
      <c r="H528" t="s">
        <v>24</v>
      </c>
      <c r="I528" t="s">
        <v>17</v>
      </c>
      <c r="J528" t="b">
        <v>0</v>
      </c>
      <c r="K528">
        <v>0</v>
      </c>
      <c r="L528">
        <v>4</v>
      </c>
    </row>
    <row r="529" spans="1:12" x14ac:dyDescent="0.25">
      <c r="A529" t="s">
        <v>587</v>
      </c>
      <c r="B529" t="s">
        <v>48</v>
      </c>
      <c r="C529" t="s">
        <v>35</v>
      </c>
      <c r="D529" t="s">
        <v>36</v>
      </c>
      <c r="E529" s="1">
        <v>45665</v>
      </c>
      <c r="F529" s="1">
        <v>45685</v>
      </c>
      <c r="H529" t="s">
        <v>39</v>
      </c>
      <c r="I529" t="s">
        <v>17</v>
      </c>
      <c r="J529" t="b">
        <v>0</v>
      </c>
      <c r="K529">
        <v>0</v>
      </c>
      <c r="L529">
        <v>1</v>
      </c>
    </row>
    <row r="530" spans="1:12" x14ac:dyDescent="0.25">
      <c r="A530" t="s">
        <v>588</v>
      </c>
      <c r="B530" t="s">
        <v>19</v>
      </c>
      <c r="C530" t="s">
        <v>91</v>
      </c>
      <c r="D530" t="s">
        <v>46</v>
      </c>
      <c r="E530" s="1">
        <v>45729</v>
      </c>
      <c r="F530" s="1">
        <v>45748</v>
      </c>
      <c r="H530" t="s">
        <v>16</v>
      </c>
      <c r="I530" t="s">
        <v>17</v>
      </c>
      <c r="J530" t="b">
        <v>1</v>
      </c>
      <c r="K530">
        <v>5</v>
      </c>
      <c r="L530">
        <v>4</v>
      </c>
    </row>
    <row r="531" spans="1:12" x14ac:dyDescent="0.25">
      <c r="A531" t="s">
        <v>589</v>
      </c>
      <c r="B531" t="s">
        <v>70</v>
      </c>
      <c r="C531" t="s">
        <v>35</v>
      </c>
      <c r="D531" t="s">
        <v>36</v>
      </c>
      <c r="E531" s="1">
        <v>45829</v>
      </c>
      <c r="F531" s="1">
        <v>45832</v>
      </c>
      <c r="G531" s="1">
        <v>45832</v>
      </c>
      <c r="H531" t="s">
        <v>32</v>
      </c>
      <c r="I531" t="s">
        <v>25</v>
      </c>
      <c r="J531" t="b">
        <v>0</v>
      </c>
      <c r="K531">
        <v>0</v>
      </c>
      <c r="L531">
        <v>2</v>
      </c>
    </row>
    <row r="532" spans="1:12" x14ac:dyDescent="0.25">
      <c r="A532" t="s">
        <v>590</v>
      </c>
      <c r="B532" t="s">
        <v>50</v>
      </c>
      <c r="C532" t="s">
        <v>61</v>
      </c>
      <c r="D532" t="s">
        <v>21</v>
      </c>
      <c r="E532" s="1">
        <v>45928</v>
      </c>
      <c r="F532" s="1">
        <v>45943</v>
      </c>
      <c r="G532" s="1">
        <v>45949</v>
      </c>
      <c r="H532" t="s">
        <v>32</v>
      </c>
      <c r="I532" t="s">
        <v>58</v>
      </c>
      <c r="J532" t="b">
        <v>1</v>
      </c>
      <c r="K532">
        <v>6</v>
      </c>
      <c r="L532">
        <v>4</v>
      </c>
    </row>
    <row r="533" spans="1:12" x14ac:dyDescent="0.25">
      <c r="A533" t="s">
        <v>591</v>
      </c>
      <c r="B533" t="s">
        <v>23</v>
      </c>
      <c r="C533" t="s">
        <v>42</v>
      </c>
      <c r="D533" t="s">
        <v>36</v>
      </c>
      <c r="E533" s="1">
        <v>46042</v>
      </c>
      <c r="F533" s="1">
        <v>46065</v>
      </c>
      <c r="G533" s="1">
        <v>46069</v>
      </c>
      <c r="H533" t="s">
        <v>32</v>
      </c>
      <c r="I533" t="s">
        <v>28</v>
      </c>
      <c r="J533" t="b">
        <v>1</v>
      </c>
      <c r="K533">
        <v>4</v>
      </c>
      <c r="L533">
        <v>1</v>
      </c>
    </row>
    <row r="534" spans="1:12" x14ac:dyDescent="0.25">
      <c r="A534" t="s">
        <v>592</v>
      </c>
      <c r="B534" t="s">
        <v>60</v>
      </c>
      <c r="C534" t="s">
        <v>112</v>
      </c>
      <c r="D534" t="s">
        <v>46</v>
      </c>
      <c r="E534" s="1">
        <v>45987</v>
      </c>
      <c r="F534" s="1">
        <v>46014</v>
      </c>
      <c r="G534" s="1">
        <v>46016</v>
      </c>
      <c r="H534" t="s">
        <v>32</v>
      </c>
      <c r="I534" t="s">
        <v>17</v>
      </c>
      <c r="J534" t="b">
        <v>1</v>
      </c>
      <c r="K534">
        <v>2</v>
      </c>
      <c r="L534">
        <v>9</v>
      </c>
    </row>
    <row r="535" spans="1:12" x14ac:dyDescent="0.25">
      <c r="A535" t="s">
        <v>593</v>
      </c>
      <c r="B535" t="s">
        <v>90</v>
      </c>
      <c r="C535" t="s">
        <v>14</v>
      </c>
      <c r="D535" t="s">
        <v>15</v>
      </c>
      <c r="E535" s="1">
        <v>45854</v>
      </c>
      <c r="F535" s="1">
        <v>45868</v>
      </c>
      <c r="H535" t="s">
        <v>39</v>
      </c>
      <c r="I535" t="s">
        <v>17</v>
      </c>
      <c r="J535" t="b">
        <v>0</v>
      </c>
      <c r="K535">
        <v>0</v>
      </c>
      <c r="L535">
        <v>6</v>
      </c>
    </row>
    <row r="536" spans="1:12" x14ac:dyDescent="0.25">
      <c r="A536" t="s">
        <v>594</v>
      </c>
      <c r="B536" t="s">
        <v>34</v>
      </c>
      <c r="C536" t="s">
        <v>61</v>
      </c>
      <c r="D536" t="s">
        <v>21</v>
      </c>
      <c r="E536" s="1">
        <v>45672</v>
      </c>
      <c r="F536" s="1">
        <v>45677</v>
      </c>
      <c r="H536" t="s">
        <v>16</v>
      </c>
      <c r="I536" t="s">
        <v>17</v>
      </c>
      <c r="J536" t="b">
        <v>1</v>
      </c>
      <c r="K536">
        <v>3</v>
      </c>
      <c r="L536">
        <v>7</v>
      </c>
    </row>
    <row r="537" spans="1:12" x14ac:dyDescent="0.25">
      <c r="A537" t="s">
        <v>595</v>
      </c>
      <c r="B537" t="s">
        <v>13</v>
      </c>
      <c r="C537" t="s">
        <v>27</v>
      </c>
      <c r="D537" t="s">
        <v>15</v>
      </c>
      <c r="E537" s="1">
        <v>45816</v>
      </c>
      <c r="F537" s="1">
        <v>45827</v>
      </c>
      <c r="H537" t="s">
        <v>24</v>
      </c>
      <c r="I537" t="s">
        <v>28</v>
      </c>
      <c r="J537" t="b">
        <v>0</v>
      </c>
      <c r="K537">
        <v>0</v>
      </c>
      <c r="L537">
        <v>7</v>
      </c>
    </row>
    <row r="538" spans="1:12" x14ac:dyDescent="0.25">
      <c r="A538" t="s">
        <v>596</v>
      </c>
      <c r="B538" t="s">
        <v>78</v>
      </c>
      <c r="C538" t="s">
        <v>112</v>
      </c>
      <c r="D538" t="s">
        <v>46</v>
      </c>
      <c r="E538" s="1">
        <v>45696</v>
      </c>
      <c r="F538" s="1">
        <v>45706</v>
      </c>
      <c r="G538" s="1">
        <v>45705</v>
      </c>
      <c r="H538" t="s">
        <v>32</v>
      </c>
      <c r="I538" t="s">
        <v>25</v>
      </c>
      <c r="J538" t="b">
        <v>0</v>
      </c>
      <c r="K538">
        <v>0</v>
      </c>
      <c r="L538">
        <v>4</v>
      </c>
    </row>
    <row r="539" spans="1:12" x14ac:dyDescent="0.25">
      <c r="A539" t="s">
        <v>597</v>
      </c>
      <c r="B539" t="s">
        <v>44</v>
      </c>
      <c r="C539" t="s">
        <v>20</v>
      </c>
      <c r="D539" t="s">
        <v>21</v>
      </c>
      <c r="E539" s="1">
        <v>46069</v>
      </c>
      <c r="F539" s="1">
        <v>46096</v>
      </c>
      <c r="H539" t="s">
        <v>16</v>
      </c>
      <c r="I539" t="s">
        <v>28</v>
      </c>
      <c r="J539" t="b">
        <v>1</v>
      </c>
      <c r="K539">
        <v>7</v>
      </c>
      <c r="L539">
        <v>6</v>
      </c>
    </row>
    <row r="540" spans="1:12" x14ac:dyDescent="0.25">
      <c r="A540" t="s">
        <v>598</v>
      </c>
      <c r="B540" t="s">
        <v>70</v>
      </c>
      <c r="C540" t="s">
        <v>112</v>
      </c>
      <c r="D540" t="s">
        <v>46</v>
      </c>
      <c r="E540" s="1">
        <v>46063</v>
      </c>
      <c r="F540" s="1">
        <v>46081</v>
      </c>
      <c r="G540" s="1">
        <v>46080</v>
      </c>
      <c r="H540" t="s">
        <v>32</v>
      </c>
      <c r="I540" t="s">
        <v>25</v>
      </c>
      <c r="J540" t="b">
        <v>0</v>
      </c>
      <c r="K540">
        <v>0</v>
      </c>
      <c r="L540">
        <v>6</v>
      </c>
    </row>
    <row r="541" spans="1:12" x14ac:dyDescent="0.25">
      <c r="A541" t="s">
        <v>599</v>
      </c>
      <c r="B541" t="s">
        <v>60</v>
      </c>
      <c r="C541" t="s">
        <v>27</v>
      </c>
      <c r="D541" t="s">
        <v>15</v>
      </c>
      <c r="E541" s="1">
        <v>45959</v>
      </c>
      <c r="F541" s="1">
        <v>45968</v>
      </c>
      <c r="G541" s="1">
        <v>45975</v>
      </c>
      <c r="H541" t="s">
        <v>32</v>
      </c>
      <c r="I541" t="s">
        <v>17</v>
      </c>
      <c r="J541" t="b">
        <v>1</v>
      </c>
      <c r="K541">
        <v>7</v>
      </c>
      <c r="L541">
        <v>1</v>
      </c>
    </row>
    <row r="542" spans="1:12" x14ac:dyDescent="0.25">
      <c r="A542" t="s">
        <v>600</v>
      </c>
      <c r="B542" t="s">
        <v>68</v>
      </c>
      <c r="C542" t="s">
        <v>14</v>
      </c>
      <c r="D542" t="s">
        <v>15</v>
      </c>
      <c r="E542" s="1">
        <v>45972</v>
      </c>
      <c r="F542" s="1">
        <v>45989</v>
      </c>
      <c r="H542" t="s">
        <v>16</v>
      </c>
      <c r="I542" t="s">
        <v>17</v>
      </c>
      <c r="J542" t="b">
        <v>1</v>
      </c>
      <c r="K542">
        <v>4</v>
      </c>
      <c r="L542">
        <v>6</v>
      </c>
    </row>
    <row r="543" spans="1:12" x14ac:dyDescent="0.25">
      <c r="A543" t="s">
        <v>601</v>
      </c>
      <c r="B543" t="s">
        <v>44</v>
      </c>
      <c r="C543" t="s">
        <v>27</v>
      </c>
      <c r="D543" t="s">
        <v>15</v>
      </c>
      <c r="E543" s="1">
        <v>45827</v>
      </c>
      <c r="F543" s="1">
        <v>45835</v>
      </c>
      <c r="G543" s="1">
        <v>45840</v>
      </c>
      <c r="H543" t="s">
        <v>32</v>
      </c>
      <c r="I543" t="s">
        <v>17</v>
      </c>
      <c r="J543" t="b">
        <v>1</v>
      </c>
      <c r="K543">
        <v>5</v>
      </c>
      <c r="L543">
        <v>3</v>
      </c>
    </row>
    <row r="544" spans="1:12" x14ac:dyDescent="0.25">
      <c r="A544" t="s">
        <v>602</v>
      </c>
      <c r="B544" t="s">
        <v>98</v>
      </c>
      <c r="C544" t="s">
        <v>35</v>
      </c>
      <c r="D544" t="s">
        <v>36</v>
      </c>
      <c r="E544" s="1">
        <v>45777</v>
      </c>
      <c r="F544" s="1">
        <v>45787</v>
      </c>
      <c r="H544" t="s">
        <v>24</v>
      </c>
      <c r="I544" t="s">
        <v>17</v>
      </c>
      <c r="J544" t="b">
        <v>0</v>
      </c>
      <c r="K544">
        <v>0</v>
      </c>
      <c r="L544">
        <v>3</v>
      </c>
    </row>
    <row r="545" spans="1:12" x14ac:dyDescent="0.25">
      <c r="A545" t="s">
        <v>603</v>
      </c>
      <c r="B545" t="s">
        <v>50</v>
      </c>
      <c r="C545" t="s">
        <v>61</v>
      </c>
      <c r="D545" t="s">
        <v>21</v>
      </c>
      <c r="E545" s="1">
        <v>45957</v>
      </c>
      <c r="F545" s="1">
        <v>45964</v>
      </c>
      <c r="H545" t="s">
        <v>16</v>
      </c>
      <c r="I545" t="s">
        <v>17</v>
      </c>
      <c r="J545" t="b">
        <v>1</v>
      </c>
      <c r="K545">
        <v>17</v>
      </c>
      <c r="L545">
        <v>9</v>
      </c>
    </row>
    <row r="546" spans="1:12" x14ac:dyDescent="0.25">
      <c r="A546" t="s">
        <v>604</v>
      </c>
      <c r="B546" t="s">
        <v>48</v>
      </c>
      <c r="C546" t="s">
        <v>14</v>
      </c>
      <c r="D546" t="s">
        <v>15</v>
      </c>
      <c r="E546" s="1">
        <v>45993</v>
      </c>
      <c r="F546" s="1">
        <v>45997</v>
      </c>
      <c r="H546" t="s">
        <v>16</v>
      </c>
      <c r="I546" t="s">
        <v>17</v>
      </c>
      <c r="J546" t="b">
        <v>1</v>
      </c>
      <c r="K546">
        <v>9</v>
      </c>
      <c r="L546">
        <v>10</v>
      </c>
    </row>
    <row r="547" spans="1:12" x14ac:dyDescent="0.25">
      <c r="A547" t="s">
        <v>605</v>
      </c>
      <c r="B547" t="s">
        <v>19</v>
      </c>
      <c r="C547" t="s">
        <v>112</v>
      </c>
      <c r="D547" t="s">
        <v>46</v>
      </c>
      <c r="E547" s="1">
        <v>45705</v>
      </c>
      <c r="F547" s="1">
        <v>45728</v>
      </c>
      <c r="H547" t="s">
        <v>24</v>
      </c>
      <c r="I547" t="s">
        <v>28</v>
      </c>
      <c r="J547" t="b">
        <v>0</v>
      </c>
      <c r="K547">
        <v>0</v>
      </c>
      <c r="L547">
        <v>10</v>
      </c>
    </row>
    <row r="548" spans="1:12" x14ac:dyDescent="0.25">
      <c r="A548" t="s">
        <v>606</v>
      </c>
      <c r="B548" t="s">
        <v>48</v>
      </c>
      <c r="C548" t="s">
        <v>45</v>
      </c>
      <c r="D548" t="s">
        <v>46</v>
      </c>
      <c r="E548" s="1">
        <v>45912</v>
      </c>
      <c r="F548" s="1">
        <v>45921</v>
      </c>
      <c r="G548" s="1">
        <v>45920</v>
      </c>
      <c r="H548" t="s">
        <v>32</v>
      </c>
      <c r="I548" t="s">
        <v>25</v>
      </c>
      <c r="J548" t="b">
        <v>0</v>
      </c>
      <c r="K548">
        <v>0</v>
      </c>
      <c r="L548">
        <v>10</v>
      </c>
    </row>
    <row r="549" spans="1:12" x14ac:dyDescent="0.25">
      <c r="A549" t="s">
        <v>607</v>
      </c>
      <c r="B549" t="s">
        <v>13</v>
      </c>
      <c r="C549" t="s">
        <v>20</v>
      </c>
      <c r="D549" t="s">
        <v>21</v>
      </c>
      <c r="E549" s="1">
        <v>45990</v>
      </c>
      <c r="F549" s="1">
        <v>46008</v>
      </c>
      <c r="H549" t="s">
        <v>16</v>
      </c>
      <c r="I549" t="s">
        <v>25</v>
      </c>
      <c r="J549" t="b">
        <v>1</v>
      </c>
      <c r="K549">
        <v>8</v>
      </c>
      <c r="L549">
        <v>7</v>
      </c>
    </row>
    <row r="550" spans="1:12" x14ac:dyDescent="0.25">
      <c r="A550" t="s">
        <v>608</v>
      </c>
      <c r="B550" t="s">
        <v>48</v>
      </c>
      <c r="C550" t="s">
        <v>20</v>
      </c>
      <c r="D550" t="s">
        <v>21</v>
      </c>
      <c r="E550" s="1">
        <v>45882</v>
      </c>
      <c r="F550" s="1">
        <v>45897</v>
      </c>
      <c r="G550" s="1">
        <v>45898</v>
      </c>
      <c r="H550" t="s">
        <v>32</v>
      </c>
      <c r="I550" t="s">
        <v>17</v>
      </c>
      <c r="J550" t="b">
        <v>1</v>
      </c>
      <c r="K550">
        <v>1</v>
      </c>
      <c r="L550">
        <v>3</v>
      </c>
    </row>
    <row r="551" spans="1:12" x14ac:dyDescent="0.25">
      <c r="A551" t="s">
        <v>609</v>
      </c>
      <c r="B551" t="s">
        <v>44</v>
      </c>
      <c r="C551" t="s">
        <v>91</v>
      </c>
      <c r="D551" t="s">
        <v>46</v>
      </c>
      <c r="E551" s="1">
        <v>45970</v>
      </c>
      <c r="F551" s="1">
        <v>45993</v>
      </c>
      <c r="G551" s="1">
        <v>45991</v>
      </c>
      <c r="H551" t="s">
        <v>32</v>
      </c>
      <c r="I551" t="s">
        <v>17</v>
      </c>
      <c r="J551" t="b">
        <v>0</v>
      </c>
      <c r="K551">
        <v>0</v>
      </c>
      <c r="L55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8EFE-997D-49AF-AAD3-0E72C47F0CCF}">
  <dimension ref="A1:J7"/>
  <sheetViews>
    <sheetView workbookViewId="0"/>
  </sheetViews>
  <sheetFormatPr baseColWidth="10" defaultRowHeight="15" x14ac:dyDescent="0.25"/>
  <cols>
    <col min="1" max="1" width="17.5703125" bestFit="1" customWidth="1"/>
    <col min="2" max="2" width="10.5703125" bestFit="1" customWidth="1"/>
    <col min="5" max="5" width="17.5703125" bestFit="1" customWidth="1"/>
    <col min="6" max="6" width="10.5703125" bestFit="1" customWidth="1"/>
    <col min="9" max="9" width="17.5703125" bestFit="1" customWidth="1"/>
    <col min="10" max="10" width="10.5703125" bestFit="1" customWidth="1"/>
  </cols>
  <sheetData>
    <row r="1" spans="1:10" x14ac:dyDescent="0.25">
      <c r="A1" s="2" t="s">
        <v>615</v>
      </c>
      <c r="B1" t="s">
        <v>617</v>
      </c>
      <c r="E1" s="2" t="s">
        <v>615</v>
      </c>
      <c r="F1" t="s">
        <v>617</v>
      </c>
      <c r="I1" s="2" t="s">
        <v>615</v>
      </c>
      <c r="J1" t="s">
        <v>617</v>
      </c>
    </row>
    <row r="2" spans="1:10" x14ac:dyDescent="0.25">
      <c r="A2" s="3" t="s">
        <v>36</v>
      </c>
      <c r="B2" s="4">
        <v>91</v>
      </c>
      <c r="E2" s="3" t="s">
        <v>39</v>
      </c>
      <c r="F2" s="4">
        <v>60</v>
      </c>
      <c r="I2" s="3" t="s">
        <v>58</v>
      </c>
      <c r="J2" s="4">
        <v>53</v>
      </c>
    </row>
    <row r="3" spans="1:10" x14ac:dyDescent="0.25">
      <c r="A3" s="3" t="s">
        <v>15</v>
      </c>
      <c r="B3" s="4">
        <v>140</v>
      </c>
      <c r="E3" s="3" t="s">
        <v>32</v>
      </c>
      <c r="F3" s="4">
        <v>308</v>
      </c>
      <c r="I3" s="3" t="s">
        <v>28</v>
      </c>
      <c r="J3" s="4">
        <v>147</v>
      </c>
    </row>
    <row r="4" spans="1:10" x14ac:dyDescent="0.25">
      <c r="A4" s="3" t="s">
        <v>21</v>
      </c>
      <c r="B4" s="4">
        <v>116</v>
      </c>
      <c r="E4" s="3" t="s">
        <v>24</v>
      </c>
      <c r="F4" s="4">
        <v>81</v>
      </c>
      <c r="I4" s="3" t="s">
        <v>25</v>
      </c>
      <c r="J4" s="4">
        <v>118</v>
      </c>
    </row>
    <row r="5" spans="1:10" x14ac:dyDescent="0.25">
      <c r="A5" s="3" t="s">
        <v>46</v>
      </c>
      <c r="B5" s="4">
        <v>91</v>
      </c>
      <c r="E5" s="3" t="s">
        <v>16</v>
      </c>
      <c r="F5" s="4">
        <v>101</v>
      </c>
      <c r="I5" s="3" t="s">
        <v>17</v>
      </c>
      <c r="J5" s="4">
        <v>232</v>
      </c>
    </row>
    <row r="6" spans="1:10" x14ac:dyDescent="0.25">
      <c r="A6" s="3" t="s">
        <v>31</v>
      </c>
      <c r="B6" s="4">
        <v>112</v>
      </c>
      <c r="E6" s="3" t="s">
        <v>616</v>
      </c>
      <c r="F6" s="4">
        <v>550</v>
      </c>
      <c r="I6" s="3" t="s">
        <v>616</v>
      </c>
      <c r="J6" s="4">
        <v>550</v>
      </c>
    </row>
    <row r="7" spans="1:10" x14ac:dyDescent="0.25">
      <c r="A7" s="3" t="s">
        <v>616</v>
      </c>
      <c r="B7" s="4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121C-0C6A-4518-B207-531926B1033B}">
  <dimension ref="A1:H4"/>
  <sheetViews>
    <sheetView workbookViewId="0"/>
  </sheetViews>
  <sheetFormatPr baseColWidth="10" defaultRowHeight="15" x14ac:dyDescent="0.25"/>
  <sheetData>
    <row r="1" spans="1:8" x14ac:dyDescent="0.25">
      <c r="A1" t="s">
        <v>610</v>
      </c>
    </row>
    <row r="3" spans="1:8" x14ac:dyDescent="0.25">
      <c r="A3" t="s">
        <v>611</v>
      </c>
      <c r="C3" t="s">
        <v>612</v>
      </c>
      <c r="E3" t="s">
        <v>613</v>
      </c>
      <c r="G3" t="s">
        <v>614</v>
      </c>
    </row>
    <row r="4" spans="1:8" x14ac:dyDescent="0.25">
      <c r="B4">
        <f>COUNTIF(TaskData[status],"Completed")/COUNTA(TaskData[status])</f>
        <v>0.56000000000000005</v>
      </c>
      <c r="D4">
        <f>COUNTIF(TaskData[is_overdue],"True")</f>
        <v>0</v>
      </c>
      <c r="F4">
        <f>AVERAGEIF(TaskData[days_overdue],"&gt;"&amp;0)</f>
        <v>5.7597402597402594</v>
      </c>
      <c r="H4">
        <f>COUNTIFS(TaskData[status],"Completed",TaskData[is_overdue],"False")/COUNTA(TaskData[status])</f>
        <v>0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PivotData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2026-06-09T03:07:11Z</dcterms:created>
  <dcterms:modified xsi:type="dcterms:W3CDTF">2026-06-09T03:10:10Z</dcterms:modified>
</cp:coreProperties>
</file>