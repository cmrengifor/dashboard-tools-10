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Project Program\dashboard-tools-10\06-training-development-tracker\"/>
    </mc:Choice>
  </mc:AlternateContent>
  <xr:revisionPtr revIDLastSave="0" documentId="13_ncr:1_{4B942704-92BE-4D47-B570-80AD877C7A84}" xr6:coauthVersionLast="47" xr6:coauthVersionMax="47" xr10:uidLastSave="{00000000-0000-0000-0000-000000000000}"/>
  <bookViews>
    <workbookView xWindow="-120" yWindow="-120" windowWidth="29040" windowHeight="15720" xr2:uid="{B7EF947A-40AB-44ED-85C2-E442C9C44CA8}"/>
  </bookViews>
  <sheets>
    <sheet name="PivotData" sheetId="3" r:id="rId1"/>
    <sheet name="Dashboard" sheetId="2" r:id="rId2"/>
    <sheet name="Data" sheetId="1" r:id="rId3"/>
  </sheets>
  <definedNames>
    <definedName name="SegmentaciónDeDatos_department">#N/A</definedName>
    <definedName name="SegmentaciónDeDatos_status">#N/A</definedName>
    <definedName name="SegmentaciónDeDatos_training_type">#N/A</definedName>
  </definedNames>
  <calcPr calcId="191029"/>
  <pivotCaches>
    <pivotCache cacheId="4" r:id="rId4"/>
    <pivotCache cacheId="9" r:id="rId5"/>
    <pivotCache cacheId="14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" i="2" l="1"/>
  <c r="D4" i="2"/>
  <c r="F4" i="2"/>
  <c r="H4" i="2"/>
</calcChain>
</file>

<file path=xl/sharedStrings.xml><?xml version="1.0" encoding="utf-8"?>
<sst xmlns="http://schemas.openxmlformats.org/spreadsheetml/2006/main" count="2084" uniqueCount="74">
  <si>
    <t>record_id</t>
  </si>
  <si>
    <t>employee_name</t>
  </si>
  <si>
    <t>department</t>
  </si>
  <si>
    <t>training_name</t>
  </si>
  <si>
    <t>training_type</t>
  </si>
  <si>
    <t>start_date</t>
  </si>
  <si>
    <t>completion_date</t>
  </si>
  <si>
    <t>training_hours</t>
  </si>
  <si>
    <t>certified</t>
  </si>
  <si>
    <t>score</t>
  </si>
  <si>
    <t>status</t>
  </si>
  <si>
    <t>Alice Johnson</t>
  </si>
  <si>
    <t>Finance</t>
  </si>
  <si>
    <t>Code of Conduct</t>
  </si>
  <si>
    <t>Compliance</t>
  </si>
  <si>
    <t>In Progress</t>
  </si>
  <si>
    <t>First Aid</t>
  </si>
  <si>
    <t>Safety</t>
  </si>
  <si>
    <t>Not Started</t>
  </si>
  <si>
    <t>Health Regulations</t>
  </si>
  <si>
    <t>Failed</t>
  </si>
  <si>
    <t>Conflict Resolution</t>
  </si>
  <si>
    <t>Soft Skills</t>
  </si>
  <si>
    <t>Completed</t>
  </si>
  <si>
    <t>Coaching Skills</t>
  </si>
  <si>
    <t>Leadership</t>
  </si>
  <si>
    <t>Hazard Identification</t>
  </si>
  <si>
    <t>Change Management</t>
  </si>
  <si>
    <t>Team Collaboration</t>
  </si>
  <si>
    <t>Communication Skills</t>
  </si>
  <si>
    <t>Python for Analysts</t>
  </si>
  <si>
    <t>Technical</t>
  </si>
  <si>
    <t>Power BI Fundamentals</t>
  </si>
  <si>
    <t>Data Privacy GDPR</t>
  </si>
  <si>
    <t>Anti-Corruption Policy</t>
  </si>
  <si>
    <t>Bob Martinez</t>
  </si>
  <si>
    <t>HR</t>
  </si>
  <si>
    <t>Fire Safety</t>
  </si>
  <si>
    <t>Presentation Skills</t>
  </si>
  <si>
    <t>Strategic Thinking</t>
  </si>
  <si>
    <t>SQL Basics</t>
  </si>
  <si>
    <t>Carol White</t>
  </si>
  <si>
    <t>IT</t>
  </si>
  <si>
    <t>Workplace Ergonomics</t>
  </si>
  <si>
    <t>Excel Advanced</t>
  </si>
  <si>
    <t>David Lee</t>
  </si>
  <si>
    <t>Operations</t>
  </si>
  <si>
    <t>Leadership Essentials</t>
  </si>
  <si>
    <t>Emma Brown</t>
  </si>
  <si>
    <t>Sales</t>
  </si>
  <si>
    <t>Frank Wilson</t>
  </si>
  <si>
    <t>Grace Chen</t>
  </si>
  <si>
    <t>Henry Davis</t>
  </si>
  <si>
    <t>Isabella Taylor</t>
  </si>
  <si>
    <t>James Anderson</t>
  </si>
  <si>
    <t>Karen Thomas</t>
  </si>
  <si>
    <t>Liam Jackson</t>
  </si>
  <si>
    <t>Maria Harris</t>
  </si>
  <si>
    <t>Nathan Clark</t>
  </si>
  <si>
    <t>Olivia Lewis</t>
  </si>
  <si>
    <t>Peter Robinson</t>
  </si>
  <si>
    <t>Quinn Walker</t>
  </si>
  <si>
    <t>Rachel Hall</t>
  </si>
  <si>
    <t>Samuel Young</t>
  </si>
  <si>
    <t>Tina King</t>
  </si>
  <si>
    <t>Training &amp; Development Tracker</t>
  </si>
  <si>
    <t>Completion Rate %</t>
  </si>
  <si>
    <t>Total Training Hours</t>
  </si>
  <si>
    <t>Certified Employees</t>
  </si>
  <si>
    <t>Avg Score</t>
  </si>
  <si>
    <t>Etiquetas de fila</t>
  </si>
  <si>
    <t>Total general</t>
  </si>
  <si>
    <t>Total Hours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</si>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</sst>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2.xml"/><Relationship Id="rId10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microsoft.com/office/2007/relationships/slicerCache" Target="slicerCaches/slicerCach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[training_development_tracker.xlsx]PivotData!PT_Department</c:name>
    <c:fmtId val="0"/>
  </c:pivotSource>
  <c:chart>
    <c:title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PivotData!$B$1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PivotData!$A$2:$A$7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Operations</c:v>
                </c:pt>
                <c:pt idx="4">
                  <c:v>Sales</c:v>
                </c:pt>
              </c:strCache>
            </c:strRef>
          </c:cat>
          <c:val>
            <c:numRef>
              <c:f>PivotData!$B$2:$B$7</c:f>
              <c:numCache>
                <c:formatCode>General</c:formatCode>
                <c:ptCount val="5"/>
                <c:pt idx="0">
                  <c:v>1674.3999999999999</c:v>
                </c:pt>
                <c:pt idx="1">
                  <c:v>1837.9999999999995</c:v>
                </c:pt>
                <c:pt idx="2">
                  <c:v>1743.3999999999994</c:v>
                </c:pt>
                <c:pt idx="3">
                  <c:v>1865.8000000000006</c:v>
                </c:pt>
                <c:pt idx="4">
                  <c:v>1865.3999999999994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87-42BC-9D00-07EF35906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0063360"/>
        <c:axId val="1410060864"/>
      </c:barChart>
      <c:catAx>
        <c:axId val="1410063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10060864"/>
        <c:crosses val="autoZero"/>
        <c:auto val="1"/>
        <c:lblAlgn val="ctr"/>
        <c:lblOffset val="100"/>
        <c:noMultiLvlLbl val="0"/>
      </c:catAx>
      <c:valAx>
        <c:axId val="14100608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10063360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[training_development_tracker.xlsx]PivotData!PT_TrainingType</c:name>
    <c:fmtId val="0"/>
  </c:pivotSource>
  <c:chart>
    <c:title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PivotData!$F$1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PivotData!$E$2:$E$7</c:f>
              <c:strCache>
                <c:ptCount val="5"/>
                <c:pt idx="0">
                  <c:v>Compliance</c:v>
                </c:pt>
                <c:pt idx="1">
                  <c:v>Leadership</c:v>
                </c:pt>
                <c:pt idx="2">
                  <c:v>Safety</c:v>
                </c:pt>
                <c:pt idx="3">
                  <c:v>Soft Skills</c:v>
                </c:pt>
                <c:pt idx="4">
                  <c:v>Technical</c:v>
                </c:pt>
              </c:strCache>
            </c:strRef>
          </c:cat>
          <c:val>
            <c:numRef>
              <c:f>PivotData!$F$2:$F$7</c:f>
              <c:numCache>
                <c:formatCode>General</c:formatCode>
                <c:ptCount val="5"/>
                <c:pt idx="0">
                  <c:v>1858.5999999999997</c:v>
                </c:pt>
                <c:pt idx="1">
                  <c:v>1787.6000000000001</c:v>
                </c:pt>
                <c:pt idx="2">
                  <c:v>1711.1</c:v>
                </c:pt>
                <c:pt idx="3">
                  <c:v>1751.4000000000003</c:v>
                </c:pt>
                <c:pt idx="4">
                  <c:v>1878.2999999999997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8D-40ED-94A3-75C27A86F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0072096"/>
        <c:axId val="1410070848"/>
      </c:barChart>
      <c:catAx>
        <c:axId val="141007209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410070848"/>
        <c:crosses val="autoZero"/>
        <c:auto val="1"/>
        <c:lblAlgn val="ctr"/>
        <c:lblOffset val="100"/>
        <c:noMultiLvlLbl val="0"/>
      </c:catAx>
      <c:valAx>
        <c:axId val="1410070848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410072096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[training_development_tracker.xlsx]PivotData!PT_Status</c:name>
    <c:fmtId val="0"/>
  </c:pivotSource>
  <c:chart>
    <c:title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PivotData!$J$1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PivotData!$I$2:$I$6</c:f>
              <c:strCache>
                <c:ptCount val="4"/>
                <c:pt idx="0">
                  <c:v>Completed</c:v>
                </c:pt>
                <c:pt idx="1">
                  <c:v>Failed</c:v>
                </c:pt>
                <c:pt idx="2">
                  <c:v>In Progress</c:v>
                </c:pt>
                <c:pt idx="3">
                  <c:v>Not Started</c:v>
                </c:pt>
              </c:strCache>
            </c:strRef>
          </c:cat>
          <c:val>
            <c:numRef>
              <c:f>PivotData!$J$2:$J$6</c:f>
              <c:numCache>
                <c:formatCode>General</c:formatCode>
                <c:ptCount val="4"/>
                <c:pt idx="0">
                  <c:v>224</c:v>
                </c:pt>
                <c:pt idx="1">
                  <c:v>34</c:v>
                </c:pt>
                <c:pt idx="2">
                  <c:v>78</c:v>
                </c:pt>
                <c:pt idx="3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E6-4547-88C6-932E7CA34A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0</xdr:rowOff>
    </xdr:from>
    <xdr:to>
      <xdr:col>8</xdr:col>
      <xdr:colOff>0</xdr:colOff>
      <xdr:row>20</xdr:row>
      <xdr:rowOff>0</xdr:rowOff>
    </xdr:to>
    <xdr:graphicFrame macro="">
      <xdr:nvGraphicFramePr>
        <xdr:cNvPr id="2" name="Chart_HoursByDept">
          <a:extLst>
            <a:ext uri="{FF2B5EF4-FFF2-40B4-BE49-F238E27FC236}">
              <a16:creationId xmlns:a16="http://schemas.microsoft.com/office/drawing/2014/main" id="{BF22087A-744B-49C7-8576-749BD5D5F8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6</xdr:row>
      <xdr:rowOff>0</xdr:rowOff>
    </xdr:from>
    <xdr:to>
      <xdr:col>15</xdr:col>
      <xdr:colOff>0</xdr:colOff>
      <xdr:row>20</xdr:row>
      <xdr:rowOff>0</xdr:rowOff>
    </xdr:to>
    <xdr:graphicFrame macro="">
      <xdr:nvGraphicFramePr>
        <xdr:cNvPr id="3" name="Chart_HoursByType">
          <a:extLst>
            <a:ext uri="{FF2B5EF4-FFF2-40B4-BE49-F238E27FC236}">
              <a16:creationId xmlns:a16="http://schemas.microsoft.com/office/drawing/2014/main" id="{C72AAE40-667C-4432-A294-BF0465DE82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20</xdr:row>
      <xdr:rowOff>0</xdr:rowOff>
    </xdr:from>
    <xdr:to>
      <xdr:col>8</xdr:col>
      <xdr:colOff>0</xdr:colOff>
      <xdr:row>34</xdr:row>
      <xdr:rowOff>0</xdr:rowOff>
    </xdr:to>
    <xdr:graphicFrame macro="">
      <xdr:nvGraphicFramePr>
        <xdr:cNvPr id="4" name="Chart_StatusDist">
          <a:extLst>
            <a:ext uri="{FF2B5EF4-FFF2-40B4-BE49-F238E27FC236}">
              <a16:creationId xmlns:a16="http://schemas.microsoft.com/office/drawing/2014/main" id="{54D2F998-9CBA-4790-9865-DB3E8E84B1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304800</xdr:colOff>
      <xdr:row>33</xdr:row>
      <xdr:rowOff>47625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DeptSlicer">
              <a:extLst>
                <a:ext uri="{FF2B5EF4-FFF2-40B4-BE49-F238E27FC236}">
                  <a16:creationId xmlns:a16="http://schemas.microsoft.com/office/drawing/2014/main" id="{F97F321C-D4E3-47F8-B165-5054B86BF54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tSlice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96000" y="38100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0</xdr:colOff>
      <xdr:row>20</xdr:row>
      <xdr:rowOff>0</xdr:rowOff>
    </xdr:from>
    <xdr:to>
      <xdr:col>14</xdr:col>
      <xdr:colOff>304800</xdr:colOff>
      <xdr:row>33</xdr:row>
      <xdr:rowOff>47625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TypeSlicer">
              <a:extLst>
                <a:ext uri="{FF2B5EF4-FFF2-40B4-BE49-F238E27FC236}">
                  <a16:creationId xmlns:a16="http://schemas.microsoft.com/office/drawing/2014/main" id="{DD5CA00E-33CE-4F47-B027-38A33A68138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ypeSlice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44000" y="38100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16</xdr:col>
      <xdr:colOff>0</xdr:colOff>
      <xdr:row>20</xdr:row>
      <xdr:rowOff>0</xdr:rowOff>
    </xdr:from>
    <xdr:to>
      <xdr:col>18</xdr:col>
      <xdr:colOff>304800</xdr:colOff>
      <xdr:row>33</xdr:row>
      <xdr:rowOff>47625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StatusSlicer">
              <a:extLst>
                <a:ext uri="{FF2B5EF4-FFF2-40B4-BE49-F238E27FC236}">
                  <a16:creationId xmlns:a16="http://schemas.microsoft.com/office/drawing/2014/main" id="{BEF35FC3-CC79-47B3-A82A-BFCDB82D099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Slice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192000" y="38100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81.912467476854" createdVersion="3" refreshedVersion="7" minRefreshableVersion="3" recordCount="409" xr:uid="{9223059B-C7D4-4C3F-868A-9A6AAB08AD67}">
  <cacheSource type="worksheet">
    <worksheetSource name="TrainingData"/>
  </cacheSource>
  <cacheFields count="11">
    <cacheField name="record_id" numFmtId="0">
      <sharedItems containsSemiMixedTypes="0" containsString="0" containsNumber="1" containsInteger="1" minValue="1" maxValue="409"/>
    </cacheField>
    <cacheField name="employee_name" numFmtId="0">
      <sharedItems/>
    </cacheField>
    <cacheField name="department" numFmtId="0">
      <sharedItems count="5">
        <s v="Finance"/>
        <s v="HR"/>
        <s v="IT"/>
        <s v="Operations"/>
        <s v="Sales"/>
      </sharedItems>
    </cacheField>
    <cacheField name="training_name" numFmtId="0">
      <sharedItems/>
    </cacheField>
    <cacheField name="training_type" numFmtId="0">
      <sharedItems/>
    </cacheField>
    <cacheField name="start_date" numFmtId="14">
      <sharedItems containsSemiMixedTypes="0" containsNonDate="0" containsDate="1" containsString="0" minDate="2025-01-03T00:00:00" maxDate="2026-03-27T00:00:00"/>
    </cacheField>
    <cacheField name="completion_date" numFmtId="0">
      <sharedItems containsNonDate="0" containsDate="1" containsString="0" containsBlank="1" minDate="2025-01-12T00:00:00" maxDate="2026-05-03T00:00:00"/>
    </cacheField>
    <cacheField name="training_hours" numFmtId="0">
      <sharedItems containsSemiMixedTypes="0" containsString="0" containsNumber="1" minValue="4" maxValue="40"/>
    </cacheField>
    <cacheField name="certified" numFmtId="0">
      <sharedItems/>
    </cacheField>
    <cacheField name="score" numFmtId="0">
      <sharedItems containsString="0" containsBlank="1" containsNumber="1" minValue="30.9" maxValue="99.8"/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 pivotCacheId="1951985159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81.912763773151" createdVersion="3" refreshedVersion="7" minRefreshableVersion="3" recordCount="409" xr:uid="{B3A860C4-C504-4D60-91F0-EBBCF46FF99B}">
  <cacheSource type="worksheet">
    <worksheetSource name="TrainingData"/>
  </cacheSource>
  <cacheFields count="11">
    <cacheField name="record_id" numFmtId="0">
      <sharedItems containsSemiMixedTypes="0" containsString="0" containsNumber="1" containsInteger="1" minValue="1" maxValue="409"/>
    </cacheField>
    <cacheField name="employee_name" numFmtId="0">
      <sharedItems/>
    </cacheField>
    <cacheField name="department" numFmtId="0">
      <sharedItems/>
    </cacheField>
    <cacheField name="training_name" numFmtId="0">
      <sharedItems/>
    </cacheField>
    <cacheField name="training_type" numFmtId="0">
      <sharedItems count="5">
        <s v="Compliance"/>
        <s v="Safety"/>
        <s v="Soft Skills"/>
        <s v="Leadership"/>
        <s v="Technical"/>
      </sharedItems>
    </cacheField>
    <cacheField name="start_date" numFmtId="14">
      <sharedItems containsSemiMixedTypes="0" containsNonDate="0" containsDate="1" containsString="0" minDate="2025-01-03T00:00:00" maxDate="2026-03-27T00:00:00"/>
    </cacheField>
    <cacheField name="completion_date" numFmtId="0">
      <sharedItems containsNonDate="0" containsDate="1" containsString="0" containsBlank="1" minDate="2025-01-12T00:00:00" maxDate="2026-05-03T00:00:00"/>
    </cacheField>
    <cacheField name="training_hours" numFmtId="0">
      <sharedItems containsSemiMixedTypes="0" containsString="0" containsNumber="1" minValue="4" maxValue="40"/>
    </cacheField>
    <cacheField name="certified" numFmtId="0">
      <sharedItems/>
    </cacheField>
    <cacheField name="score" numFmtId="0">
      <sharedItems containsString="0" containsBlank="1" containsNumber="1" minValue="30.9" maxValue="99.8"/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 pivotCacheId="1634700764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81.91295972222" createdVersion="3" refreshedVersion="7" minRefreshableVersion="3" recordCount="409" xr:uid="{DB326DC1-C1F2-43A6-ACBA-9B90ED98B000}">
  <cacheSource type="worksheet">
    <worksheetSource name="TrainingData"/>
  </cacheSource>
  <cacheFields count="11">
    <cacheField name="record_id" numFmtId="0">
      <sharedItems containsSemiMixedTypes="0" containsString="0" containsNumber="1" containsInteger="1" minValue="1" maxValue="409"/>
    </cacheField>
    <cacheField name="employee_name" numFmtId="0">
      <sharedItems/>
    </cacheField>
    <cacheField name="department" numFmtId="0">
      <sharedItems/>
    </cacheField>
    <cacheField name="training_name" numFmtId="0">
      <sharedItems/>
    </cacheField>
    <cacheField name="training_type" numFmtId="0">
      <sharedItems/>
    </cacheField>
    <cacheField name="start_date" numFmtId="14">
      <sharedItems containsSemiMixedTypes="0" containsNonDate="0" containsDate="1" containsString="0" minDate="2025-01-03T00:00:00" maxDate="2026-03-27T00:00:00"/>
    </cacheField>
    <cacheField name="completion_date" numFmtId="0">
      <sharedItems containsNonDate="0" containsDate="1" containsString="0" containsBlank="1" minDate="2025-01-12T00:00:00" maxDate="2026-05-03T00:00:00"/>
    </cacheField>
    <cacheField name="training_hours" numFmtId="0">
      <sharedItems containsSemiMixedTypes="0" containsString="0" containsNumber="1" minValue="4" maxValue="40"/>
    </cacheField>
    <cacheField name="certified" numFmtId="0">
      <sharedItems/>
    </cacheField>
    <cacheField name="score" numFmtId="0">
      <sharedItems containsString="0" containsBlank="1" containsNumber="1" minValue="30.9" maxValue="99.8"/>
    </cacheField>
    <cacheField name="status" numFmtId="0">
      <sharedItems count="4">
        <s v="In Progress"/>
        <s v="Not Started"/>
        <s v="Failed"/>
        <s v="Completed"/>
      </sharedItems>
    </cacheField>
  </cacheFields>
  <extLst>
    <ext xmlns:x14="http://schemas.microsoft.com/office/spreadsheetml/2009/9/main" uri="{725AE2AE-9491-48be-B2B4-4EB974FC3084}">
      <x14:pivotCacheDefinition pivotCacheId="9684520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9">
  <r>
    <n v="1"/>
    <s v="Alice Johnson"/>
    <x v="0"/>
    <s v="Code of Conduct"/>
    <s v="Compliance"/>
    <d v="2025-07-17T00:00:00"/>
    <m/>
    <n v="7.4"/>
    <b v="0"/>
    <m/>
    <s v="In Progress"/>
  </r>
  <r>
    <n v="2"/>
    <s v="Alice Johnson"/>
    <x v="0"/>
    <s v="First Aid"/>
    <s v="Safety"/>
    <d v="2026-03-16T00:00:00"/>
    <m/>
    <n v="8.6"/>
    <b v="0"/>
    <m/>
    <s v="Not Started"/>
  </r>
  <r>
    <n v="3"/>
    <s v="Alice Johnson"/>
    <x v="0"/>
    <s v="Health Regulations"/>
    <s v="Compliance"/>
    <d v="2025-07-22T00:00:00"/>
    <m/>
    <n v="27.2"/>
    <b v="0"/>
    <n v="42.9"/>
    <s v="Failed"/>
  </r>
  <r>
    <n v="4"/>
    <s v="Alice Johnson"/>
    <x v="0"/>
    <s v="Conflict Resolution"/>
    <s v="Soft Skills"/>
    <d v="2025-04-13T00:00:00"/>
    <d v="2025-04-21T00:00:00"/>
    <n v="33.799999999999997"/>
    <b v="1"/>
    <n v="90.3"/>
    <s v="Completed"/>
  </r>
  <r>
    <n v="5"/>
    <s v="Alice Johnson"/>
    <x v="0"/>
    <s v="Coaching Skills"/>
    <s v="Leadership"/>
    <d v="2025-06-09T00:00:00"/>
    <m/>
    <n v="32"/>
    <b v="0"/>
    <m/>
    <s v="Not Started"/>
  </r>
  <r>
    <n v="6"/>
    <s v="Alice Johnson"/>
    <x v="0"/>
    <s v="Hazard Identification"/>
    <s v="Safety"/>
    <d v="2025-03-29T00:00:00"/>
    <d v="2025-04-17T00:00:00"/>
    <n v="9.6"/>
    <b v="1"/>
    <n v="89.8"/>
    <s v="Completed"/>
  </r>
  <r>
    <n v="7"/>
    <s v="Alice Johnson"/>
    <x v="0"/>
    <s v="Change Management"/>
    <s v="Leadership"/>
    <d v="2026-03-12T00:00:00"/>
    <d v="2026-04-02T00:00:00"/>
    <n v="20.9"/>
    <b v="0"/>
    <n v="65.2"/>
    <s v="Completed"/>
  </r>
  <r>
    <n v="8"/>
    <s v="Alice Johnson"/>
    <x v="0"/>
    <s v="Team Collaboration"/>
    <s v="Soft Skills"/>
    <d v="2025-08-03T00:00:00"/>
    <m/>
    <n v="19.7"/>
    <b v="0"/>
    <m/>
    <s v="In Progress"/>
  </r>
  <r>
    <n v="9"/>
    <s v="Alice Johnson"/>
    <x v="0"/>
    <s v="Communication Skills"/>
    <s v="Soft Skills"/>
    <d v="2026-01-10T00:00:00"/>
    <d v="2026-02-09T00:00:00"/>
    <n v="34"/>
    <b v="1"/>
    <n v="75.5"/>
    <s v="Completed"/>
  </r>
  <r>
    <n v="10"/>
    <s v="Alice Johnson"/>
    <x v="0"/>
    <s v="Health Regulations"/>
    <s v="Compliance"/>
    <d v="2025-05-10T00:00:00"/>
    <d v="2025-05-24T00:00:00"/>
    <n v="11.2"/>
    <b v="0"/>
    <n v="91.5"/>
    <s v="Completed"/>
  </r>
  <r>
    <n v="11"/>
    <s v="Alice Johnson"/>
    <x v="0"/>
    <s v="Health Regulations"/>
    <s v="Compliance"/>
    <d v="2025-10-27T00:00:00"/>
    <m/>
    <n v="20.5"/>
    <b v="0"/>
    <m/>
    <s v="Not Started"/>
  </r>
  <r>
    <n v="12"/>
    <s v="Alice Johnson"/>
    <x v="0"/>
    <s v="Code of Conduct"/>
    <s v="Compliance"/>
    <d v="2025-09-13T00:00:00"/>
    <d v="2025-09-19T00:00:00"/>
    <n v="28.1"/>
    <b v="1"/>
    <n v="82.6"/>
    <s v="Completed"/>
  </r>
  <r>
    <n v="13"/>
    <s v="Alice Johnson"/>
    <x v="0"/>
    <s v="Python for Analysts"/>
    <s v="Technical"/>
    <d v="2025-12-11T00:00:00"/>
    <m/>
    <n v="24.1"/>
    <b v="0"/>
    <m/>
    <s v="In Progress"/>
  </r>
  <r>
    <n v="14"/>
    <s v="Alice Johnson"/>
    <x v="0"/>
    <s v="Health Regulations"/>
    <s v="Compliance"/>
    <d v="2025-05-17T00:00:00"/>
    <d v="2025-06-15T00:00:00"/>
    <n v="11.7"/>
    <b v="1"/>
    <n v="94.1"/>
    <s v="Completed"/>
  </r>
  <r>
    <n v="15"/>
    <s v="Alice Johnson"/>
    <x v="0"/>
    <s v="Python for Analysts"/>
    <s v="Technical"/>
    <d v="2025-04-16T00:00:00"/>
    <d v="2025-05-23T00:00:00"/>
    <n v="14.6"/>
    <b v="1"/>
    <n v="82.3"/>
    <s v="Completed"/>
  </r>
  <r>
    <n v="16"/>
    <s v="Alice Johnson"/>
    <x v="0"/>
    <s v="Power BI Fundamentals"/>
    <s v="Technical"/>
    <d v="2025-12-19T00:00:00"/>
    <d v="2026-02-01T00:00:00"/>
    <n v="33.299999999999997"/>
    <b v="0"/>
    <n v="60.9"/>
    <s v="Completed"/>
  </r>
  <r>
    <n v="17"/>
    <s v="Alice Johnson"/>
    <x v="0"/>
    <s v="Data Privacy GDPR"/>
    <s v="Compliance"/>
    <d v="2025-02-10T00:00:00"/>
    <d v="2025-03-17T00:00:00"/>
    <n v="9.8000000000000007"/>
    <b v="1"/>
    <n v="66.099999999999994"/>
    <s v="Completed"/>
  </r>
  <r>
    <n v="18"/>
    <s v="Alice Johnson"/>
    <x v="0"/>
    <s v="Anti-Corruption Policy"/>
    <s v="Compliance"/>
    <d v="2025-11-10T00:00:00"/>
    <d v="2025-12-04T00:00:00"/>
    <n v="14.9"/>
    <b v="1"/>
    <n v="74.5"/>
    <s v="Completed"/>
  </r>
  <r>
    <n v="19"/>
    <s v="Bob Martinez"/>
    <x v="1"/>
    <s v="Fire Safety"/>
    <s v="Safety"/>
    <d v="2025-06-04T00:00:00"/>
    <m/>
    <n v="36.700000000000003"/>
    <b v="0"/>
    <n v="37.700000000000003"/>
    <s v="Failed"/>
  </r>
  <r>
    <n v="20"/>
    <s v="Bob Martinez"/>
    <x v="1"/>
    <s v="Health Regulations"/>
    <s v="Compliance"/>
    <d v="2025-04-29T00:00:00"/>
    <m/>
    <n v="20.2"/>
    <b v="0"/>
    <m/>
    <s v="In Progress"/>
  </r>
  <r>
    <n v="21"/>
    <s v="Bob Martinez"/>
    <x v="1"/>
    <s v="Anti-Corruption Policy"/>
    <s v="Compliance"/>
    <d v="2025-02-05T00:00:00"/>
    <m/>
    <n v="20.399999999999999"/>
    <b v="0"/>
    <n v="38.9"/>
    <s v="Failed"/>
  </r>
  <r>
    <n v="22"/>
    <s v="Bob Martinez"/>
    <x v="1"/>
    <s v="First Aid"/>
    <s v="Safety"/>
    <d v="2025-09-04T00:00:00"/>
    <m/>
    <n v="31.3"/>
    <b v="0"/>
    <m/>
    <s v="Not Started"/>
  </r>
  <r>
    <n v="23"/>
    <s v="Bob Martinez"/>
    <x v="1"/>
    <s v="Coaching Skills"/>
    <s v="Leadership"/>
    <d v="2025-10-26T00:00:00"/>
    <m/>
    <n v="25"/>
    <b v="0"/>
    <m/>
    <s v="In Progress"/>
  </r>
  <r>
    <n v="24"/>
    <s v="Bob Martinez"/>
    <x v="1"/>
    <s v="Power BI Fundamentals"/>
    <s v="Technical"/>
    <d v="2025-10-10T00:00:00"/>
    <d v="2025-10-18T00:00:00"/>
    <n v="5.5"/>
    <b v="1"/>
    <n v="73.2"/>
    <s v="Completed"/>
  </r>
  <r>
    <n v="25"/>
    <s v="Bob Martinez"/>
    <x v="1"/>
    <s v="Data Privacy GDPR"/>
    <s v="Compliance"/>
    <d v="2025-11-01T00:00:00"/>
    <m/>
    <n v="10.1"/>
    <b v="0"/>
    <m/>
    <s v="In Progress"/>
  </r>
  <r>
    <n v="26"/>
    <s v="Bob Martinez"/>
    <x v="1"/>
    <s v="Presentation Skills"/>
    <s v="Soft Skills"/>
    <d v="2026-03-22T00:00:00"/>
    <d v="2026-04-19T00:00:00"/>
    <n v="25.3"/>
    <b v="0"/>
    <n v="98.3"/>
    <s v="Completed"/>
  </r>
  <r>
    <n v="27"/>
    <s v="Bob Martinez"/>
    <x v="1"/>
    <s v="Change Management"/>
    <s v="Leadership"/>
    <d v="2025-07-30T00:00:00"/>
    <d v="2025-09-04T00:00:00"/>
    <n v="21.5"/>
    <b v="1"/>
    <n v="97.5"/>
    <s v="Completed"/>
  </r>
  <r>
    <n v="28"/>
    <s v="Bob Martinez"/>
    <x v="1"/>
    <s v="Power BI Fundamentals"/>
    <s v="Technical"/>
    <d v="2025-09-02T00:00:00"/>
    <d v="2025-09-25T00:00:00"/>
    <n v="15.9"/>
    <b v="1"/>
    <n v="77.599999999999994"/>
    <s v="Completed"/>
  </r>
  <r>
    <n v="29"/>
    <s v="Bob Martinez"/>
    <x v="1"/>
    <s v="Communication Skills"/>
    <s v="Soft Skills"/>
    <d v="2025-06-13T00:00:00"/>
    <m/>
    <n v="9"/>
    <b v="0"/>
    <m/>
    <s v="Not Started"/>
  </r>
  <r>
    <n v="30"/>
    <s v="Bob Martinez"/>
    <x v="1"/>
    <s v="Team Collaboration"/>
    <s v="Soft Skills"/>
    <d v="2025-05-23T00:00:00"/>
    <m/>
    <n v="14.1"/>
    <b v="0"/>
    <m/>
    <s v="In Progress"/>
  </r>
  <r>
    <n v="31"/>
    <s v="Bob Martinez"/>
    <x v="1"/>
    <s v="Team Collaboration"/>
    <s v="Soft Skills"/>
    <d v="2025-11-25T00:00:00"/>
    <m/>
    <n v="7.9"/>
    <b v="0"/>
    <m/>
    <s v="Not Started"/>
  </r>
  <r>
    <n v="32"/>
    <s v="Bob Martinez"/>
    <x v="1"/>
    <s v="Health Regulations"/>
    <s v="Compliance"/>
    <d v="2026-03-15T00:00:00"/>
    <d v="2026-03-29T00:00:00"/>
    <n v="24"/>
    <b v="1"/>
    <n v="93.2"/>
    <s v="Completed"/>
  </r>
  <r>
    <n v="33"/>
    <s v="Bob Martinez"/>
    <x v="1"/>
    <s v="Strategic Thinking"/>
    <s v="Leadership"/>
    <d v="2026-03-10T00:00:00"/>
    <m/>
    <n v="14.5"/>
    <b v="0"/>
    <n v="37.4"/>
    <s v="Failed"/>
  </r>
  <r>
    <n v="34"/>
    <s v="Bob Martinez"/>
    <x v="1"/>
    <s v="Hazard Identification"/>
    <s v="Safety"/>
    <d v="2025-03-23T00:00:00"/>
    <d v="2025-04-03T00:00:00"/>
    <n v="19.7"/>
    <b v="1"/>
    <n v="95.7"/>
    <s v="Completed"/>
  </r>
  <r>
    <n v="35"/>
    <s v="Bob Martinez"/>
    <x v="1"/>
    <s v="Power BI Fundamentals"/>
    <s v="Technical"/>
    <d v="2026-01-16T00:00:00"/>
    <m/>
    <n v="22.7"/>
    <b v="0"/>
    <m/>
    <s v="Not Started"/>
  </r>
  <r>
    <n v="36"/>
    <s v="Bob Martinez"/>
    <x v="1"/>
    <s v="Change Management"/>
    <s v="Leadership"/>
    <d v="2025-01-10T00:00:00"/>
    <m/>
    <n v="17.5"/>
    <b v="0"/>
    <m/>
    <s v="In Progress"/>
  </r>
  <r>
    <n v="37"/>
    <s v="Bob Martinez"/>
    <x v="1"/>
    <s v="Fire Safety"/>
    <s v="Safety"/>
    <d v="2025-11-28T00:00:00"/>
    <d v="2026-01-01T00:00:00"/>
    <n v="37.700000000000003"/>
    <b v="0"/>
    <n v="64.900000000000006"/>
    <s v="Completed"/>
  </r>
  <r>
    <n v="38"/>
    <s v="Bob Martinez"/>
    <x v="1"/>
    <s v="SQL Basics"/>
    <s v="Technical"/>
    <d v="2026-02-06T00:00:00"/>
    <d v="2026-02-17T00:00:00"/>
    <n v="25.6"/>
    <b v="1"/>
    <n v="67.900000000000006"/>
    <s v="Completed"/>
  </r>
  <r>
    <n v="39"/>
    <s v="Carol White"/>
    <x v="2"/>
    <s v="Presentation Skills"/>
    <s v="Soft Skills"/>
    <d v="2025-12-16T00:00:00"/>
    <d v="2026-01-02T00:00:00"/>
    <n v="9.1999999999999993"/>
    <b v="0"/>
    <n v="69.2"/>
    <s v="Completed"/>
  </r>
  <r>
    <n v="40"/>
    <s v="Carol White"/>
    <x v="2"/>
    <s v="Workplace Ergonomics"/>
    <s v="Safety"/>
    <d v="2025-03-01T00:00:00"/>
    <d v="2025-03-06T00:00:00"/>
    <n v="22.2"/>
    <b v="1"/>
    <n v="83.2"/>
    <s v="Completed"/>
  </r>
  <r>
    <n v="41"/>
    <s v="Carol White"/>
    <x v="2"/>
    <s v="Anti-Corruption Policy"/>
    <s v="Compliance"/>
    <d v="2025-03-31T00:00:00"/>
    <m/>
    <n v="30.6"/>
    <b v="0"/>
    <m/>
    <s v="In Progress"/>
  </r>
  <r>
    <n v="42"/>
    <s v="Carol White"/>
    <x v="2"/>
    <s v="Hazard Identification"/>
    <s v="Safety"/>
    <d v="2025-02-28T00:00:00"/>
    <m/>
    <n v="18.3"/>
    <b v="0"/>
    <n v="44.2"/>
    <s v="Failed"/>
  </r>
  <r>
    <n v="43"/>
    <s v="Carol White"/>
    <x v="2"/>
    <s v="Power BI Fundamentals"/>
    <s v="Technical"/>
    <d v="2025-10-26T00:00:00"/>
    <d v="2025-11-12T00:00:00"/>
    <n v="37.299999999999997"/>
    <b v="0"/>
    <n v="82.2"/>
    <s v="Completed"/>
  </r>
  <r>
    <n v="44"/>
    <s v="Carol White"/>
    <x v="2"/>
    <s v="Fire Safety"/>
    <s v="Safety"/>
    <d v="2025-10-13T00:00:00"/>
    <d v="2025-11-20T00:00:00"/>
    <n v="19.100000000000001"/>
    <b v="1"/>
    <n v="83.8"/>
    <s v="Completed"/>
  </r>
  <r>
    <n v="45"/>
    <s v="Carol White"/>
    <x v="2"/>
    <s v="Python for Analysts"/>
    <s v="Technical"/>
    <d v="2026-02-24T00:00:00"/>
    <d v="2026-03-30T00:00:00"/>
    <n v="32.299999999999997"/>
    <b v="0"/>
    <n v="64.400000000000006"/>
    <s v="Completed"/>
  </r>
  <r>
    <n v="46"/>
    <s v="Carol White"/>
    <x v="2"/>
    <s v="Workplace Ergonomics"/>
    <s v="Safety"/>
    <d v="2026-01-09T00:00:00"/>
    <d v="2026-01-24T00:00:00"/>
    <n v="23.1"/>
    <b v="1"/>
    <n v="94.7"/>
    <s v="Completed"/>
  </r>
  <r>
    <n v="47"/>
    <s v="Carol White"/>
    <x v="2"/>
    <s v="Health Regulations"/>
    <s v="Compliance"/>
    <d v="2025-09-29T00:00:00"/>
    <d v="2025-10-15T00:00:00"/>
    <n v="19.3"/>
    <b v="1"/>
    <n v="94.7"/>
    <s v="Completed"/>
  </r>
  <r>
    <n v="48"/>
    <s v="Carol White"/>
    <x v="2"/>
    <s v="Change Management"/>
    <s v="Leadership"/>
    <d v="2025-07-24T00:00:00"/>
    <d v="2025-08-19T00:00:00"/>
    <n v="30.9"/>
    <b v="1"/>
    <n v="64.2"/>
    <s v="Completed"/>
  </r>
  <r>
    <n v="49"/>
    <s v="Carol White"/>
    <x v="2"/>
    <s v="Presentation Skills"/>
    <s v="Soft Skills"/>
    <d v="2025-01-30T00:00:00"/>
    <d v="2025-02-23T00:00:00"/>
    <n v="33.700000000000003"/>
    <b v="1"/>
    <n v="65.8"/>
    <s v="Completed"/>
  </r>
  <r>
    <n v="50"/>
    <s v="Carol White"/>
    <x v="2"/>
    <s v="Strategic Thinking"/>
    <s v="Leadership"/>
    <d v="2026-02-19T00:00:00"/>
    <d v="2026-03-19T00:00:00"/>
    <n v="9.5"/>
    <b v="0"/>
    <n v="60.8"/>
    <s v="Completed"/>
  </r>
  <r>
    <n v="51"/>
    <s v="Carol White"/>
    <x v="2"/>
    <s v="Power BI Fundamentals"/>
    <s v="Technical"/>
    <d v="2025-01-25T00:00:00"/>
    <d v="2025-02-06T00:00:00"/>
    <n v="25.3"/>
    <b v="1"/>
    <n v="75.7"/>
    <s v="Completed"/>
  </r>
  <r>
    <n v="52"/>
    <s v="Carol White"/>
    <x v="2"/>
    <s v="SQL Basics"/>
    <s v="Technical"/>
    <d v="2025-05-24T00:00:00"/>
    <m/>
    <n v="34.6"/>
    <b v="0"/>
    <m/>
    <s v="Not Started"/>
  </r>
  <r>
    <n v="53"/>
    <s v="Carol White"/>
    <x v="2"/>
    <s v="Coaching Skills"/>
    <s v="Leadership"/>
    <d v="2025-01-20T00:00:00"/>
    <d v="2025-02-13T00:00:00"/>
    <n v="13"/>
    <b v="1"/>
    <n v="76.7"/>
    <s v="Completed"/>
  </r>
  <r>
    <n v="54"/>
    <s v="Carol White"/>
    <x v="2"/>
    <s v="Excel Advanced"/>
    <s v="Technical"/>
    <d v="2025-01-23T00:00:00"/>
    <d v="2025-01-28T00:00:00"/>
    <n v="7.7"/>
    <b v="1"/>
    <n v="62.1"/>
    <s v="Completed"/>
  </r>
  <r>
    <n v="55"/>
    <s v="Carol White"/>
    <x v="2"/>
    <s v="Conflict Resolution"/>
    <s v="Soft Skills"/>
    <d v="2026-02-21T00:00:00"/>
    <m/>
    <n v="36.5"/>
    <b v="0"/>
    <m/>
    <s v="Not Started"/>
  </r>
  <r>
    <n v="56"/>
    <s v="Carol White"/>
    <x v="2"/>
    <s v="Python for Analysts"/>
    <s v="Technical"/>
    <d v="2026-03-17T00:00:00"/>
    <m/>
    <n v="27.1"/>
    <b v="0"/>
    <m/>
    <s v="Not Started"/>
  </r>
  <r>
    <n v="57"/>
    <s v="Carol White"/>
    <x v="2"/>
    <s v="First Aid"/>
    <s v="Safety"/>
    <d v="2025-12-17T00:00:00"/>
    <d v="2026-01-20T00:00:00"/>
    <n v="22.5"/>
    <b v="1"/>
    <n v="78.5"/>
    <s v="Completed"/>
  </r>
  <r>
    <n v="58"/>
    <s v="David Lee"/>
    <x v="3"/>
    <s v="Anti-Corruption Policy"/>
    <s v="Compliance"/>
    <d v="2025-11-05T00:00:00"/>
    <d v="2025-12-05T00:00:00"/>
    <n v="9"/>
    <b v="1"/>
    <n v="76.7"/>
    <s v="Completed"/>
  </r>
  <r>
    <n v="59"/>
    <s v="David Lee"/>
    <x v="3"/>
    <s v="Data Privacy GDPR"/>
    <s v="Compliance"/>
    <d v="2025-06-02T00:00:00"/>
    <d v="2025-06-21T00:00:00"/>
    <n v="15.8"/>
    <b v="1"/>
    <n v="87.4"/>
    <s v="Completed"/>
  </r>
  <r>
    <n v="60"/>
    <s v="David Lee"/>
    <x v="3"/>
    <s v="Conflict Resolution"/>
    <s v="Soft Skills"/>
    <d v="2025-12-23T00:00:00"/>
    <m/>
    <n v="21.3"/>
    <b v="0"/>
    <n v="45.5"/>
    <s v="Failed"/>
  </r>
  <r>
    <n v="61"/>
    <s v="David Lee"/>
    <x v="3"/>
    <s v="Hazard Identification"/>
    <s v="Safety"/>
    <d v="2025-08-09T00:00:00"/>
    <m/>
    <n v="23.2"/>
    <b v="0"/>
    <m/>
    <s v="Not Started"/>
  </r>
  <r>
    <n v="62"/>
    <s v="David Lee"/>
    <x v="3"/>
    <s v="Code of Conduct"/>
    <s v="Compliance"/>
    <d v="2025-02-02T00:00:00"/>
    <m/>
    <n v="11.3"/>
    <b v="0"/>
    <m/>
    <s v="In Progress"/>
  </r>
  <r>
    <n v="63"/>
    <s v="David Lee"/>
    <x v="3"/>
    <s v="Coaching Skills"/>
    <s v="Leadership"/>
    <d v="2025-08-15T00:00:00"/>
    <d v="2025-09-23T00:00:00"/>
    <n v="26.1"/>
    <b v="0"/>
    <n v="89"/>
    <s v="Completed"/>
  </r>
  <r>
    <n v="64"/>
    <s v="David Lee"/>
    <x v="3"/>
    <s v="Leadership Essentials"/>
    <s v="Leadership"/>
    <d v="2025-08-24T00:00:00"/>
    <d v="2025-10-05T00:00:00"/>
    <n v="38.5"/>
    <b v="1"/>
    <n v="83.7"/>
    <s v="Completed"/>
  </r>
  <r>
    <n v="65"/>
    <s v="David Lee"/>
    <x v="3"/>
    <s v="Strategic Thinking"/>
    <s v="Leadership"/>
    <d v="2026-03-25T00:00:00"/>
    <m/>
    <n v="13.1"/>
    <b v="0"/>
    <n v="32.799999999999997"/>
    <s v="Failed"/>
  </r>
  <r>
    <n v="66"/>
    <s v="David Lee"/>
    <x v="3"/>
    <s v="Coaching Skills"/>
    <s v="Leadership"/>
    <d v="2025-03-17T00:00:00"/>
    <m/>
    <n v="24.6"/>
    <b v="0"/>
    <m/>
    <s v="In Progress"/>
  </r>
  <r>
    <n v="67"/>
    <s v="David Lee"/>
    <x v="3"/>
    <s v="Change Management"/>
    <s v="Leadership"/>
    <d v="2025-11-02T00:00:00"/>
    <m/>
    <n v="32.799999999999997"/>
    <b v="0"/>
    <m/>
    <s v="Not Started"/>
  </r>
  <r>
    <n v="68"/>
    <s v="David Lee"/>
    <x v="3"/>
    <s v="Change Management"/>
    <s v="Leadership"/>
    <d v="2025-04-17T00:00:00"/>
    <m/>
    <n v="8.3000000000000007"/>
    <b v="0"/>
    <n v="32.5"/>
    <s v="Failed"/>
  </r>
  <r>
    <n v="69"/>
    <s v="David Lee"/>
    <x v="3"/>
    <s v="Coaching Skills"/>
    <s v="Leadership"/>
    <d v="2025-11-24T00:00:00"/>
    <m/>
    <n v="28.2"/>
    <b v="0"/>
    <m/>
    <s v="Not Started"/>
  </r>
  <r>
    <n v="70"/>
    <s v="David Lee"/>
    <x v="3"/>
    <s v="Anti-Corruption Policy"/>
    <s v="Compliance"/>
    <d v="2025-11-29T00:00:00"/>
    <m/>
    <n v="13.7"/>
    <b v="0"/>
    <m/>
    <s v="Not Started"/>
  </r>
  <r>
    <n v="71"/>
    <s v="David Lee"/>
    <x v="3"/>
    <s v="Anti-Corruption Policy"/>
    <s v="Compliance"/>
    <d v="2025-08-28T00:00:00"/>
    <d v="2025-09-14T00:00:00"/>
    <n v="9.3000000000000007"/>
    <b v="1"/>
    <n v="77.5"/>
    <s v="Completed"/>
  </r>
  <r>
    <n v="72"/>
    <s v="David Lee"/>
    <x v="3"/>
    <s v="Anti-Corruption Policy"/>
    <s v="Compliance"/>
    <d v="2025-02-27T00:00:00"/>
    <m/>
    <n v="37.700000000000003"/>
    <b v="0"/>
    <m/>
    <s v="In Progress"/>
  </r>
  <r>
    <n v="73"/>
    <s v="David Lee"/>
    <x v="3"/>
    <s v="Presentation Skills"/>
    <s v="Soft Skills"/>
    <d v="2025-10-03T00:00:00"/>
    <d v="2025-10-27T00:00:00"/>
    <n v="39.5"/>
    <b v="1"/>
    <n v="98"/>
    <s v="Completed"/>
  </r>
  <r>
    <n v="74"/>
    <s v="David Lee"/>
    <x v="3"/>
    <s v="Leadership Essentials"/>
    <s v="Leadership"/>
    <d v="2025-05-02T00:00:00"/>
    <m/>
    <n v="8.4"/>
    <b v="0"/>
    <m/>
    <s v="In Progress"/>
  </r>
  <r>
    <n v="75"/>
    <s v="David Lee"/>
    <x v="3"/>
    <s v="Coaching Skills"/>
    <s v="Leadership"/>
    <d v="2025-01-15T00:00:00"/>
    <d v="2025-02-16T00:00:00"/>
    <n v="20.399999999999999"/>
    <b v="1"/>
    <n v="71.8"/>
    <s v="Completed"/>
  </r>
  <r>
    <n v="76"/>
    <s v="Emma Brown"/>
    <x v="4"/>
    <s v="Change Management"/>
    <s v="Leadership"/>
    <d v="2025-07-19T00:00:00"/>
    <m/>
    <n v="32.1"/>
    <b v="0"/>
    <n v="58.9"/>
    <s v="Failed"/>
  </r>
  <r>
    <n v="77"/>
    <s v="Emma Brown"/>
    <x v="4"/>
    <s v="Communication Skills"/>
    <s v="Soft Skills"/>
    <d v="2026-01-31T00:00:00"/>
    <m/>
    <n v="7.8"/>
    <b v="0"/>
    <m/>
    <s v="Not Started"/>
  </r>
  <r>
    <n v="78"/>
    <s v="Emma Brown"/>
    <x v="4"/>
    <s v="Team Collaboration"/>
    <s v="Soft Skills"/>
    <d v="2026-03-26T00:00:00"/>
    <m/>
    <n v="7.3"/>
    <b v="0"/>
    <m/>
    <s v="In Progress"/>
  </r>
  <r>
    <n v="79"/>
    <s v="Emma Brown"/>
    <x v="4"/>
    <s v="Code of Conduct"/>
    <s v="Compliance"/>
    <d v="2026-02-08T00:00:00"/>
    <d v="2026-03-19T00:00:00"/>
    <n v="9.1"/>
    <b v="1"/>
    <n v="67.900000000000006"/>
    <s v="Completed"/>
  </r>
  <r>
    <n v="80"/>
    <s v="Emma Brown"/>
    <x v="4"/>
    <s v="Python for Analysts"/>
    <s v="Technical"/>
    <d v="2026-02-14T00:00:00"/>
    <d v="2026-03-02T00:00:00"/>
    <n v="4.2"/>
    <b v="0"/>
    <n v="84.2"/>
    <s v="Completed"/>
  </r>
  <r>
    <n v="81"/>
    <s v="Emma Brown"/>
    <x v="4"/>
    <s v="Health Regulations"/>
    <s v="Compliance"/>
    <d v="2025-12-27T00:00:00"/>
    <m/>
    <n v="6.1"/>
    <b v="0"/>
    <m/>
    <s v="Not Started"/>
  </r>
  <r>
    <n v="82"/>
    <s v="Emma Brown"/>
    <x v="4"/>
    <s v="Team Collaboration"/>
    <s v="Soft Skills"/>
    <d v="2025-12-27T00:00:00"/>
    <m/>
    <n v="29.1"/>
    <b v="0"/>
    <m/>
    <s v="Not Started"/>
  </r>
  <r>
    <n v="83"/>
    <s v="Emma Brown"/>
    <x v="4"/>
    <s v="Hazard Identification"/>
    <s v="Safety"/>
    <d v="2026-01-13T00:00:00"/>
    <d v="2026-02-04T00:00:00"/>
    <n v="8.5"/>
    <b v="1"/>
    <n v="89.8"/>
    <s v="Completed"/>
  </r>
  <r>
    <n v="84"/>
    <s v="Emma Brown"/>
    <x v="4"/>
    <s v="Power BI Fundamentals"/>
    <s v="Technical"/>
    <d v="2025-10-11T00:00:00"/>
    <d v="2025-10-19T00:00:00"/>
    <n v="30.4"/>
    <b v="0"/>
    <n v="70.8"/>
    <s v="Completed"/>
  </r>
  <r>
    <n v="85"/>
    <s v="Emma Brown"/>
    <x v="4"/>
    <s v="Fire Safety"/>
    <s v="Safety"/>
    <d v="2025-11-16T00:00:00"/>
    <m/>
    <n v="6"/>
    <b v="0"/>
    <m/>
    <s v="In Progress"/>
  </r>
  <r>
    <n v="86"/>
    <s v="Emma Brown"/>
    <x v="4"/>
    <s v="Fire Safety"/>
    <s v="Safety"/>
    <d v="2025-10-05T00:00:00"/>
    <m/>
    <n v="29.5"/>
    <b v="0"/>
    <m/>
    <s v="Not Started"/>
  </r>
  <r>
    <n v="87"/>
    <s v="Emma Brown"/>
    <x v="4"/>
    <s v="Excel Advanced"/>
    <s v="Technical"/>
    <d v="2025-03-19T00:00:00"/>
    <d v="2025-04-07T00:00:00"/>
    <n v="39.299999999999997"/>
    <b v="1"/>
    <n v="91.4"/>
    <s v="Completed"/>
  </r>
  <r>
    <n v="88"/>
    <s v="Emma Brown"/>
    <x v="4"/>
    <s v="Excel Advanced"/>
    <s v="Technical"/>
    <d v="2025-10-14T00:00:00"/>
    <d v="2025-11-22T00:00:00"/>
    <n v="38.1"/>
    <b v="1"/>
    <n v="83.1"/>
    <s v="Completed"/>
  </r>
  <r>
    <n v="89"/>
    <s v="Emma Brown"/>
    <x v="4"/>
    <s v="Coaching Skills"/>
    <s v="Leadership"/>
    <d v="2025-11-11T00:00:00"/>
    <m/>
    <n v="9.3000000000000007"/>
    <b v="0"/>
    <n v="41.7"/>
    <s v="Failed"/>
  </r>
  <r>
    <n v="90"/>
    <s v="Emma Brown"/>
    <x v="4"/>
    <s v="Health Regulations"/>
    <s v="Compliance"/>
    <d v="2025-08-02T00:00:00"/>
    <d v="2025-08-12T00:00:00"/>
    <n v="14"/>
    <b v="1"/>
    <n v="77.099999999999994"/>
    <s v="Completed"/>
  </r>
  <r>
    <n v="91"/>
    <s v="Emma Brown"/>
    <x v="4"/>
    <s v="SQL Basics"/>
    <s v="Technical"/>
    <d v="2025-10-02T00:00:00"/>
    <d v="2025-10-23T00:00:00"/>
    <n v="18.7"/>
    <b v="0"/>
    <n v="83.5"/>
    <s v="Completed"/>
  </r>
  <r>
    <n v="92"/>
    <s v="Emma Brown"/>
    <x v="4"/>
    <s v="Code of Conduct"/>
    <s v="Compliance"/>
    <d v="2025-05-23T00:00:00"/>
    <d v="2025-07-03T00:00:00"/>
    <n v="21.1"/>
    <b v="0"/>
    <n v="82.9"/>
    <s v="Completed"/>
  </r>
  <r>
    <n v="93"/>
    <s v="Emma Brown"/>
    <x v="4"/>
    <s v="Excel Advanced"/>
    <s v="Technical"/>
    <d v="2025-09-12T00:00:00"/>
    <m/>
    <n v="27.5"/>
    <b v="0"/>
    <m/>
    <s v="In Progress"/>
  </r>
  <r>
    <n v="94"/>
    <s v="Emma Brown"/>
    <x v="4"/>
    <s v="Code of Conduct"/>
    <s v="Compliance"/>
    <d v="2025-05-23T00:00:00"/>
    <d v="2025-06-06T00:00:00"/>
    <n v="19.5"/>
    <b v="1"/>
    <n v="74.400000000000006"/>
    <s v="Completed"/>
  </r>
  <r>
    <n v="95"/>
    <s v="Emma Brown"/>
    <x v="4"/>
    <s v="Health Regulations"/>
    <s v="Compliance"/>
    <d v="2025-08-19T00:00:00"/>
    <m/>
    <n v="37.200000000000003"/>
    <b v="0"/>
    <m/>
    <s v="Not Started"/>
  </r>
  <r>
    <n v="96"/>
    <s v="Emma Brown"/>
    <x v="4"/>
    <s v="Health Regulations"/>
    <s v="Compliance"/>
    <d v="2025-08-15T00:00:00"/>
    <m/>
    <n v="15.3"/>
    <b v="0"/>
    <m/>
    <s v="Not Started"/>
  </r>
  <r>
    <n v="97"/>
    <s v="Emma Brown"/>
    <x v="4"/>
    <s v="Coaching Skills"/>
    <s v="Leadership"/>
    <d v="2026-01-12T00:00:00"/>
    <d v="2026-02-01T00:00:00"/>
    <n v="6.6"/>
    <b v="1"/>
    <n v="62.2"/>
    <s v="Completed"/>
  </r>
  <r>
    <n v="98"/>
    <s v="Emma Brown"/>
    <x v="4"/>
    <s v="Leadership Essentials"/>
    <s v="Leadership"/>
    <d v="2025-05-07T00:00:00"/>
    <d v="2025-06-03T00:00:00"/>
    <n v="15.3"/>
    <b v="1"/>
    <n v="60.6"/>
    <s v="Completed"/>
  </r>
  <r>
    <n v="99"/>
    <s v="Frank Wilson"/>
    <x v="0"/>
    <s v="Strategic Thinking"/>
    <s v="Leadership"/>
    <d v="2025-11-14T00:00:00"/>
    <d v="2025-12-23T00:00:00"/>
    <n v="9.5"/>
    <b v="1"/>
    <n v="64.8"/>
    <s v="Completed"/>
  </r>
  <r>
    <n v="100"/>
    <s v="Frank Wilson"/>
    <x v="0"/>
    <s v="Change Management"/>
    <s v="Leadership"/>
    <d v="2025-08-14T00:00:00"/>
    <m/>
    <n v="31.8"/>
    <b v="0"/>
    <n v="49.9"/>
    <s v="Failed"/>
  </r>
  <r>
    <n v="101"/>
    <s v="Frank Wilson"/>
    <x v="0"/>
    <s v="Power BI Fundamentals"/>
    <s v="Technical"/>
    <d v="2025-12-05T00:00:00"/>
    <m/>
    <n v="4.4000000000000004"/>
    <b v="0"/>
    <m/>
    <s v="In Progress"/>
  </r>
  <r>
    <n v="102"/>
    <s v="Frank Wilson"/>
    <x v="0"/>
    <s v="Data Privacy GDPR"/>
    <s v="Compliance"/>
    <d v="2025-12-07T00:00:00"/>
    <d v="2026-01-02T00:00:00"/>
    <n v="10"/>
    <b v="1"/>
    <n v="99.6"/>
    <s v="Completed"/>
  </r>
  <r>
    <n v="103"/>
    <s v="Frank Wilson"/>
    <x v="0"/>
    <s v="First Aid"/>
    <s v="Safety"/>
    <d v="2025-04-01T00:00:00"/>
    <m/>
    <n v="9.1"/>
    <b v="0"/>
    <n v="41.4"/>
    <s v="Failed"/>
  </r>
  <r>
    <n v="104"/>
    <s v="Frank Wilson"/>
    <x v="0"/>
    <s v="Communication Skills"/>
    <s v="Soft Skills"/>
    <d v="2026-01-11T00:00:00"/>
    <d v="2026-02-15T00:00:00"/>
    <n v="20.9"/>
    <b v="0"/>
    <n v="67.2"/>
    <s v="Completed"/>
  </r>
  <r>
    <n v="105"/>
    <s v="Frank Wilson"/>
    <x v="0"/>
    <s v="Presentation Skills"/>
    <s v="Soft Skills"/>
    <d v="2026-02-28T00:00:00"/>
    <d v="2026-03-06T00:00:00"/>
    <n v="14.5"/>
    <b v="1"/>
    <n v="83.5"/>
    <s v="Completed"/>
  </r>
  <r>
    <n v="106"/>
    <s v="Frank Wilson"/>
    <x v="0"/>
    <s v="Anti-Corruption Policy"/>
    <s v="Compliance"/>
    <d v="2025-01-07T00:00:00"/>
    <d v="2025-01-15T00:00:00"/>
    <n v="34.4"/>
    <b v="1"/>
    <n v="86"/>
    <s v="Completed"/>
  </r>
  <r>
    <n v="107"/>
    <s v="Frank Wilson"/>
    <x v="0"/>
    <s v="Coaching Skills"/>
    <s v="Leadership"/>
    <d v="2025-12-24T00:00:00"/>
    <d v="2026-01-28T00:00:00"/>
    <n v="17.2"/>
    <b v="1"/>
    <n v="73.5"/>
    <s v="Completed"/>
  </r>
  <r>
    <n v="108"/>
    <s v="Frank Wilson"/>
    <x v="0"/>
    <s v="Hazard Identification"/>
    <s v="Safety"/>
    <d v="2025-05-29T00:00:00"/>
    <m/>
    <n v="34.700000000000003"/>
    <b v="0"/>
    <m/>
    <s v="Not Started"/>
  </r>
  <r>
    <n v="109"/>
    <s v="Frank Wilson"/>
    <x v="0"/>
    <s v="Team Collaboration"/>
    <s v="Soft Skills"/>
    <d v="2025-07-13T00:00:00"/>
    <m/>
    <n v="34.6"/>
    <b v="0"/>
    <m/>
    <s v="In Progress"/>
  </r>
  <r>
    <n v="110"/>
    <s v="Frank Wilson"/>
    <x v="0"/>
    <s v="Conflict Resolution"/>
    <s v="Soft Skills"/>
    <d v="2025-09-20T00:00:00"/>
    <d v="2025-10-14T00:00:00"/>
    <n v="7.8"/>
    <b v="1"/>
    <n v="96.7"/>
    <s v="Completed"/>
  </r>
  <r>
    <n v="111"/>
    <s v="Frank Wilson"/>
    <x v="0"/>
    <s v="Code of Conduct"/>
    <s v="Compliance"/>
    <d v="2025-06-26T00:00:00"/>
    <d v="2025-07-08T00:00:00"/>
    <n v="10.9"/>
    <b v="0"/>
    <n v="97.1"/>
    <s v="Completed"/>
  </r>
  <r>
    <n v="112"/>
    <s v="Frank Wilson"/>
    <x v="0"/>
    <s v="Anti-Corruption Policy"/>
    <s v="Compliance"/>
    <d v="2025-07-09T00:00:00"/>
    <m/>
    <n v="4.3"/>
    <b v="0"/>
    <m/>
    <s v="In Progress"/>
  </r>
  <r>
    <n v="113"/>
    <s v="Frank Wilson"/>
    <x v="0"/>
    <s v="Change Management"/>
    <s v="Leadership"/>
    <d v="2025-03-18T00:00:00"/>
    <m/>
    <n v="39.299999999999997"/>
    <b v="0"/>
    <m/>
    <s v="In Progress"/>
  </r>
  <r>
    <n v="114"/>
    <s v="Frank Wilson"/>
    <x v="0"/>
    <s v="First Aid"/>
    <s v="Safety"/>
    <d v="2026-01-31T00:00:00"/>
    <m/>
    <n v="36.5"/>
    <b v="0"/>
    <m/>
    <s v="Not Started"/>
  </r>
  <r>
    <n v="115"/>
    <s v="Frank Wilson"/>
    <x v="0"/>
    <s v="Coaching Skills"/>
    <s v="Leadership"/>
    <d v="2025-05-09T00:00:00"/>
    <m/>
    <n v="35.200000000000003"/>
    <b v="0"/>
    <m/>
    <s v="Not Started"/>
  </r>
  <r>
    <n v="116"/>
    <s v="Frank Wilson"/>
    <x v="0"/>
    <s v="Python for Analysts"/>
    <s v="Technical"/>
    <d v="2025-08-17T00:00:00"/>
    <d v="2025-09-20T00:00:00"/>
    <n v="23.9"/>
    <b v="1"/>
    <n v="98.8"/>
    <s v="Completed"/>
  </r>
  <r>
    <n v="117"/>
    <s v="Frank Wilson"/>
    <x v="0"/>
    <s v="SQL Basics"/>
    <s v="Technical"/>
    <d v="2025-03-11T00:00:00"/>
    <m/>
    <n v="31"/>
    <b v="0"/>
    <m/>
    <s v="In Progress"/>
  </r>
  <r>
    <n v="118"/>
    <s v="Frank Wilson"/>
    <x v="0"/>
    <s v="Anti-Corruption Policy"/>
    <s v="Compliance"/>
    <d v="2025-01-03T00:00:00"/>
    <d v="2025-01-12T00:00:00"/>
    <n v="32"/>
    <b v="1"/>
    <n v="99.4"/>
    <s v="Completed"/>
  </r>
  <r>
    <n v="119"/>
    <s v="Grace Chen"/>
    <x v="1"/>
    <s v="Change Management"/>
    <s v="Leadership"/>
    <d v="2026-03-17T00:00:00"/>
    <m/>
    <n v="7.1"/>
    <b v="0"/>
    <m/>
    <s v="Not Started"/>
  </r>
  <r>
    <n v="120"/>
    <s v="Grace Chen"/>
    <x v="1"/>
    <s v="Leadership Essentials"/>
    <s v="Leadership"/>
    <d v="2025-09-07T00:00:00"/>
    <m/>
    <n v="33.6"/>
    <b v="0"/>
    <n v="40.799999999999997"/>
    <s v="Failed"/>
  </r>
  <r>
    <n v="121"/>
    <s v="Grace Chen"/>
    <x v="1"/>
    <s v="Hazard Identification"/>
    <s v="Safety"/>
    <d v="2025-01-22T00:00:00"/>
    <m/>
    <n v="29.7"/>
    <b v="0"/>
    <m/>
    <s v="In Progress"/>
  </r>
  <r>
    <n v="122"/>
    <s v="Grace Chen"/>
    <x v="1"/>
    <s v="Power BI Fundamentals"/>
    <s v="Technical"/>
    <d v="2025-12-15T00:00:00"/>
    <m/>
    <n v="32.799999999999997"/>
    <b v="0"/>
    <m/>
    <s v="In Progress"/>
  </r>
  <r>
    <n v="123"/>
    <s v="Grace Chen"/>
    <x v="1"/>
    <s v="Workplace Ergonomics"/>
    <s v="Safety"/>
    <d v="2025-01-23T00:00:00"/>
    <m/>
    <n v="34.9"/>
    <b v="0"/>
    <m/>
    <s v="In Progress"/>
  </r>
  <r>
    <n v="124"/>
    <s v="Grace Chen"/>
    <x v="1"/>
    <s v="Conflict Resolution"/>
    <s v="Soft Skills"/>
    <d v="2025-01-03T00:00:00"/>
    <m/>
    <n v="5.0999999999999996"/>
    <b v="0"/>
    <m/>
    <s v="In Progress"/>
  </r>
  <r>
    <n v="125"/>
    <s v="Grace Chen"/>
    <x v="1"/>
    <s v="Strategic Thinking"/>
    <s v="Leadership"/>
    <d v="2025-06-30T00:00:00"/>
    <m/>
    <n v="12.6"/>
    <b v="0"/>
    <m/>
    <s v="In Progress"/>
  </r>
  <r>
    <n v="126"/>
    <s v="Grace Chen"/>
    <x v="1"/>
    <s v="Workplace Ergonomics"/>
    <s v="Safety"/>
    <d v="2026-01-19T00:00:00"/>
    <m/>
    <n v="14.8"/>
    <b v="0"/>
    <m/>
    <s v="Not Started"/>
  </r>
  <r>
    <n v="127"/>
    <s v="Grace Chen"/>
    <x v="1"/>
    <s v="Team Collaboration"/>
    <s v="Soft Skills"/>
    <d v="2025-09-23T00:00:00"/>
    <d v="2025-10-15T00:00:00"/>
    <n v="35.9"/>
    <b v="0"/>
    <n v="63.4"/>
    <s v="Completed"/>
  </r>
  <r>
    <n v="128"/>
    <s v="Grace Chen"/>
    <x v="1"/>
    <s v="Team Collaboration"/>
    <s v="Soft Skills"/>
    <d v="2025-06-03T00:00:00"/>
    <m/>
    <n v="40"/>
    <b v="0"/>
    <m/>
    <s v="Not Started"/>
  </r>
  <r>
    <n v="129"/>
    <s v="Grace Chen"/>
    <x v="1"/>
    <s v="Code of Conduct"/>
    <s v="Compliance"/>
    <d v="2025-05-14T00:00:00"/>
    <d v="2025-06-19T00:00:00"/>
    <n v="24.7"/>
    <b v="1"/>
    <n v="88"/>
    <s v="Completed"/>
  </r>
  <r>
    <n v="130"/>
    <s v="Grace Chen"/>
    <x v="1"/>
    <s v="Coaching Skills"/>
    <s v="Leadership"/>
    <d v="2025-09-25T00:00:00"/>
    <m/>
    <n v="21.9"/>
    <b v="0"/>
    <n v="40.6"/>
    <s v="Failed"/>
  </r>
  <r>
    <n v="131"/>
    <s v="Grace Chen"/>
    <x v="1"/>
    <s v="Communication Skills"/>
    <s v="Soft Skills"/>
    <d v="2025-01-31T00:00:00"/>
    <d v="2025-02-19T00:00:00"/>
    <n v="20.3"/>
    <b v="1"/>
    <n v="73.7"/>
    <s v="Completed"/>
  </r>
  <r>
    <n v="132"/>
    <s v="Grace Chen"/>
    <x v="1"/>
    <s v="Conflict Resolution"/>
    <s v="Soft Skills"/>
    <d v="2025-07-09T00:00:00"/>
    <m/>
    <n v="23.5"/>
    <b v="0"/>
    <m/>
    <s v="Not Started"/>
  </r>
  <r>
    <n v="133"/>
    <s v="Grace Chen"/>
    <x v="1"/>
    <s v="Hazard Identification"/>
    <s v="Safety"/>
    <d v="2025-05-09T00:00:00"/>
    <d v="2025-05-27T00:00:00"/>
    <n v="15.7"/>
    <b v="1"/>
    <n v="81.2"/>
    <s v="Completed"/>
  </r>
  <r>
    <n v="134"/>
    <s v="Grace Chen"/>
    <x v="1"/>
    <s v="Hazard Identification"/>
    <s v="Safety"/>
    <d v="2025-12-01T00:00:00"/>
    <m/>
    <n v="14.8"/>
    <b v="0"/>
    <m/>
    <s v="In Progress"/>
  </r>
  <r>
    <n v="135"/>
    <s v="Grace Chen"/>
    <x v="1"/>
    <s v="Strategic Thinking"/>
    <s v="Leadership"/>
    <d v="2025-04-19T00:00:00"/>
    <d v="2025-05-05T00:00:00"/>
    <n v="35.5"/>
    <b v="1"/>
    <n v="82.5"/>
    <s v="Completed"/>
  </r>
  <r>
    <n v="136"/>
    <s v="Grace Chen"/>
    <x v="1"/>
    <s v="Conflict Resolution"/>
    <s v="Soft Skills"/>
    <d v="2025-12-23T00:00:00"/>
    <d v="2026-01-20T00:00:00"/>
    <n v="21.1"/>
    <b v="1"/>
    <n v="87"/>
    <s v="Completed"/>
  </r>
  <r>
    <n v="137"/>
    <s v="Grace Chen"/>
    <x v="1"/>
    <s v="Anti-Corruption Policy"/>
    <s v="Compliance"/>
    <d v="2026-01-02T00:00:00"/>
    <m/>
    <n v="10.7"/>
    <b v="0"/>
    <m/>
    <s v="Not Started"/>
  </r>
  <r>
    <n v="138"/>
    <s v="Grace Chen"/>
    <x v="1"/>
    <s v="Fire Safety"/>
    <s v="Safety"/>
    <d v="2025-09-10T00:00:00"/>
    <m/>
    <n v="38.4"/>
    <b v="0"/>
    <m/>
    <s v="In Progress"/>
  </r>
  <r>
    <n v="139"/>
    <s v="Grace Chen"/>
    <x v="1"/>
    <s v="SQL Basics"/>
    <s v="Technical"/>
    <d v="2025-08-19T00:00:00"/>
    <d v="2025-09-30T00:00:00"/>
    <n v="38.6"/>
    <b v="0"/>
    <n v="61.6"/>
    <s v="Completed"/>
  </r>
  <r>
    <n v="140"/>
    <s v="Grace Chen"/>
    <x v="1"/>
    <s v="Leadership Essentials"/>
    <s v="Leadership"/>
    <d v="2025-04-21T00:00:00"/>
    <d v="2025-05-18T00:00:00"/>
    <n v="22.6"/>
    <b v="1"/>
    <n v="62"/>
    <s v="Completed"/>
  </r>
  <r>
    <n v="141"/>
    <s v="Grace Chen"/>
    <x v="1"/>
    <s v="SQL Basics"/>
    <s v="Technical"/>
    <d v="2025-02-20T00:00:00"/>
    <d v="2025-03-22T00:00:00"/>
    <n v="29.1"/>
    <b v="0"/>
    <n v="72.099999999999994"/>
    <s v="Completed"/>
  </r>
  <r>
    <n v="142"/>
    <s v="Henry Davis"/>
    <x v="2"/>
    <s v="Change Management"/>
    <s v="Leadership"/>
    <d v="2025-04-14T00:00:00"/>
    <d v="2025-05-05T00:00:00"/>
    <n v="8"/>
    <b v="1"/>
    <n v="60"/>
    <s v="Completed"/>
  </r>
  <r>
    <n v="143"/>
    <s v="Henry Davis"/>
    <x v="2"/>
    <s v="Power BI Fundamentals"/>
    <s v="Technical"/>
    <d v="2025-05-04T00:00:00"/>
    <d v="2025-05-28T00:00:00"/>
    <n v="19.5"/>
    <b v="1"/>
    <n v="93.6"/>
    <s v="Completed"/>
  </r>
  <r>
    <n v="144"/>
    <s v="Henry Davis"/>
    <x v="2"/>
    <s v="Change Management"/>
    <s v="Leadership"/>
    <d v="2025-04-14T00:00:00"/>
    <d v="2025-05-01T00:00:00"/>
    <n v="21.3"/>
    <b v="1"/>
    <n v="69.099999999999994"/>
    <s v="Completed"/>
  </r>
  <r>
    <n v="145"/>
    <s v="Henry Davis"/>
    <x v="2"/>
    <s v="Anti-Corruption Policy"/>
    <s v="Compliance"/>
    <d v="2025-04-22T00:00:00"/>
    <d v="2025-06-03T00:00:00"/>
    <n v="20.6"/>
    <b v="1"/>
    <n v="66"/>
    <s v="Completed"/>
  </r>
  <r>
    <n v="146"/>
    <s v="Henry Davis"/>
    <x v="2"/>
    <s v="Data Privacy GDPR"/>
    <s v="Compliance"/>
    <d v="2025-05-24T00:00:00"/>
    <m/>
    <n v="4.3"/>
    <b v="0"/>
    <n v="30.9"/>
    <s v="Failed"/>
  </r>
  <r>
    <n v="147"/>
    <s v="Henry Davis"/>
    <x v="2"/>
    <s v="Python for Analysts"/>
    <s v="Technical"/>
    <d v="2025-11-14T00:00:00"/>
    <d v="2025-12-13T00:00:00"/>
    <n v="24.5"/>
    <b v="1"/>
    <n v="94"/>
    <s v="Completed"/>
  </r>
  <r>
    <n v="148"/>
    <s v="Henry Davis"/>
    <x v="2"/>
    <s v="Leadership Essentials"/>
    <s v="Leadership"/>
    <d v="2025-05-07T00:00:00"/>
    <m/>
    <n v="9.9"/>
    <b v="0"/>
    <m/>
    <s v="In Progress"/>
  </r>
  <r>
    <n v="149"/>
    <s v="Henry Davis"/>
    <x v="2"/>
    <s v="Hazard Identification"/>
    <s v="Safety"/>
    <d v="2026-03-24T00:00:00"/>
    <d v="2026-05-02T00:00:00"/>
    <n v="37.1"/>
    <b v="1"/>
    <n v="84.1"/>
    <s v="Completed"/>
  </r>
  <r>
    <n v="150"/>
    <s v="Henry Davis"/>
    <x v="2"/>
    <s v="Hazard Identification"/>
    <s v="Safety"/>
    <d v="2025-02-05T00:00:00"/>
    <m/>
    <n v="15.5"/>
    <b v="0"/>
    <m/>
    <s v="Not Started"/>
  </r>
  <r>
    <n v="151"/>
    <s v="Henry Davis"/>
    <x v="2"/>
    <s v="Strategic Thinking"/>
    <s v="Leadership"/>
    <d v="2025-02-20T00:00:00"/>
    <d v="2025-03-21T00:00:00"/>
    <n v="18.899999999999999"/>
    <b v="1"/>
    <n v="63.1"/>
    <s v="Completed"/>
  </r>
  <r>
    <n v="152"/>
    <s v="Henry Davis"/>
    <x v="2"/>
    <s v="Fire Safety"/>
    <s v="Safety"/>
    <d v="2025-11-28T00:00:00"/>
    <d v="2025-12-16T00:00:00"/>
    <n v="10"/>
    <b v="1"/>
    <n v="88.3"/>
    <s v="Completed"/>
  </r>
  <r>
    <n v="153"/>
    <s v="Henry Davis"/>
    <x v="2"/>
    <s v="Team Collaboration"/>
    <s v="Soft Skills"/>
    <d v="2026-01-07T00:00:00"/>
    <m/>
    <n v="25.4"/>
    <b v="0"/>
    <m/>
    <s v="Not Started"/>
  </r>
  <r>
    <n v="154"/>
    <s v="Henry Davis"/>
    <x v="2"/>
    <s v="Communication Skills"/>
    <s v="Soft Skills"/>
    <d v="2025-12-16T00:00:00"/>
    <m/>
    <n v="10.199999999999999"/>
    <b v="0"/>
    <m/>
    <s v="In Progress"/>
  </r>
  <r>
    <n v="155"/>
    <s v="Henry Davis"/>
    <x v="2"/>
    <s v="Code of Conduct"/>
    <s v="Compliance"/>
    <d v="2025-02-24T00:00:00"/>
    <d v="2025-04-09T00:00:00"/>
    <n v="4.5999999999999996"/>
    <b v="1"/>
    <n v="83.4"/>
    <s v="Completed"/>
  </r>
  <r>
    <n v="156"/>
    <s v="Henry Davis"/>
    <x v="2"/>
    <s v="Communication Skills"/>
    <s v="Soft Skills"/>
    <d v="2025-09-15T00:00:00"/>
    <m/>
    <n v="23.3"/>
    <b v="0"/>
    <m/>
    <s v="Not Started"/>
  </r>
  <r>
    <n v="157"/>
    <s v="Henry Davis"/>
    <x v="2"/>
    <s v="Power BI Fundamentals"/>
    <s v="Technical"/>
    <d v="2025-03-24T00:00:00"/>
    <d v="2025-04-08T00:00:00"/>
    <n v="25.4"/>
    <b v="1"/>
    <n v="86.5"/>
    <s v="Completed"/>
  </r>
  <r>
    <n v="158"/>
    <s v="Henry Davis"/>
    <x v="2"/>
    <s v="Hazard Identification"/>
    <s v="Safety"/>
    <d v="2025-03-27T00:00:00"/>
    <m/>
    <n v="12.3"/>
    <b v="0"/>
    <m/>
    <s v="In Progress"/>
  </r>
  <r>
    <n v="159"/>
    <s v="Henry Davis"/>
    <x v="2"/>
    <s v="Hazard Identification"/>
    <s v="Safety"/>
    <d v="2026-01-13T00:00:00"/>
    <m/>
    <n v="23.9"/>
    <b v="0"/>
    <m/>
    <s v="In Progress"/>
  </r>
  <r>
    <n v="160"/>
    <s v="Henry Davis"/>
    <x v="2"/>
    <s v="Change Management"/>
    <s v="Leadership"/>
    <d v="2025-12-05T00:00:00"/>
    <m/>
    <n v="24.4"/>
    <b v="0"/>
    <m/>
    <s v="In Progress"/>
  </r>
  <r>
    <n v="161"/>
    <s v="Henry Davis"/>
    <x v="2"/>
    <s v="Presentation Skills"/>
    <s v="Soft Skills"/>
    <d v="2025-11-19T00:00:00"/>
    <d v="2026-01-02T00:00:00"/>
    <n v="22.5"/>
    <b v="0"/>
    <n v="91.8"/>
    <s v="Completed"/>
  </r>
  <r>
    <n v="162"/>
    <s v="Isabella Taylor"/>
    <x v="3"/>
    <s v="Change Management"/>
    <s v="Leadership"/>
    <d v="2025-07-03T00:00:00"/>
    <m/>
    <n v="18.2"/>
    <b v="0"/>
    <m/>
    <s v="Not Started"/>
  </r>
  <r>
    <n v="163"/>
    <s v="Isabella Taylor"/>
    <x v="3"/>
    <s v="Python for Analysts"/>
    <s v="Technical"/>
    <d v="2025-11-04T00:00:00"/>
    <m/>
    <n v="10.4"/>
    <b v="0"/>
    <n v="54.9"/>
    <s v="Failed"/>
  </r>
  <r>
    <n v="164"/>
    <s v="Isabella Taylor"/>
    <x v="3"/>
    <s v="SQL Basics"/>
    <s v="Technical"/>
    <d v="2026-02-15T00:00:00"/>
    <d v="2026-03-01T00:00:00"/>
    <n v="30.4"/>
    <b v="1"/>
    <n v="75.2"/>
    <s v="Completed"/>
  </r>
  <r>
    <n v="165"/>
    <s v="Isabella Taylor"/>
    <x v="3"/>
    <s v="Conflict Resolution"/>
    <s v="Soft Skills"/>
    <d v="2025-08-21T00:00:00"/>
    <m/>
    <n v="32.200000000000003"/>
    <b v="0"/>
    <m/>
    <s v="In Progress"/>
  </r>
  <r>
    <n v="166"/>
    <s v="Isabella Taylor"/>
    <x v="3"/>
    <s v="Health Regulations"/>
    <s v="Compliance"/>
    <d v="2025-09-14T00:00:00"/>
    <m/>
    <n v="35.200000000000003"/>
    <b v="0"/>
    <n v="32.9"/>
    <s v="Failed"/>
  </r>
  <r>
    <n v="167"/>
    <s v="Isabella Taylor"/>
    <x v="3"/>
    <s v="Python for Analysts"/>
    <s v="Technical"/>
    <d v="2025-04-02T00:00:00"/>
    <d v="2025-04-24T00:00:00"/>
    <n v="39.299999999999997"/>
    <b v="1"/>
    <n v="88.8"/>
    <s v="Completed"/>
  </r>
  <r>
    <n v="168"/>
    <s v="Isabella Taylor"/>
    <x v="3"/>
    <s v="Health Regulations"/>
    <s v="Compliance"/>
    <d v="2026-02-04T00:00:00"/>
    <d v="2026-03-06T00:00:00"/>
    <n v="25.9"/>
    <b v="1"/>
    <n v="76.400000000000006"/>
    <s v="Completed"/>
  </r>
  <r>
    <n v="169"/>
    <s v="Isabella Taylor"/>
    <x v="3"/>
    <s v="Communication Skills"/>
    <s v="Soft Skills"/>
    <d v="2025-09-28T00:00:00"/>
    <d v="2025-10-26T00:00:00"/>
    <n v="11.1"/>
    <b v="1"/>
    <n v="75.8"/>
    <s v="Completed"/>
  </r>
  <r>
    <n v="170"/>
    <s v="Isabella Taylor"/>
    <x v="3"/>
    <s v="Hazard Identification"/>
    <s v="Safety"/>
    <d v="2025-02-28T00:00:00"/>
    <m/>
    <n v="16.2"/>
    <b v="0"/>
    <m/>
    <s v="In Progress"/>
  </r>
  <r>
    <n v="171"/>
    <s v="Isabella Taylor"/>
    <x v="3"/>
    <s v="Python for Analysts"/>
    <s v="Technical"/>
    <d v="2026-03-06T00:00:00"/>
    <d v="2026-04-09T00:00:00"/>
    <n v="31.1"/>
    <b v="1"/>
    <n v="71.099999999999994"/>
    <s v="Completed"/>
  </r>
  <r>
    <n v="172"/>
    <s v="Isabella Taylor"/>
    <x v="3"/>
    <s v="Conflict Resolution"/>
    <s v="Soft Skills"/>
    <d v="2025-04-01T00:00:00"/>
    <d v="2025-05-15T00:00:00"/>
    <n v="20.9"/>
    <b v="1"/>
    <n v="61.8"/>
    <s v="Completed"/>
  </r>
  <r>
    <n v="173"/>
    <s v="Isabella Taylor"/>
    <x v="3"/>
    <s v="Python for Analysts"/>
    <s v="Technical"/>
    <d v="2025-08-05T00:00:00"/>
    <m/>
    <n v="21.8"/>
    <b v="0"/>
    <m/>
    <s v="In Progress"/>
  </r>
  <r>
    <n v="174"/>
    <s v="Isabella Taylor"/>
    <x v="3"/>
    <s v="Hazard Identification"/>
    <s v="Safety"/>
    <d v="2025-02-19T00:00:00"/>
    <d v="2025-03-05T00:00:00"/>
    <n v="31.5"/>
    <b v="1"/>
    <n v="96.1"/>
    <s v="Completed"/>
  </r>
  <r>
    <n v="175"/>
    <s v="Isabella Taylor"/>
    <x v="3"/>
    <s v="Communication Skills"/>
    <s v="Soft Skills"/>
    <d v="2026-03-20T00:00:00"/>
    <m/>
    <n v="6.6"/>
    <b v="0"/>
    <n v="38.799999999999997"/>
    <s v="Failed"/>
  </r>
  <r>
    <n v="176"/>
    <s v="Isabella Taylor"/>
    <x v="3"/>
    <s v="Fire Safety"/>
    <s v="Safety"/>
    <d v="2025-09-06T00:00:00"/>
    <m/>
    <n v="26.2"/>
    <b v="0"/>
    <m/>
    <s v="Not Started"/>
  </r>
  <r>
    <n v="177"/>
    <s v="Isabella Taylor"/>
    <x v="3"/>
    <s v="Excel Advanced"/>
    <s v="Technical"/>
    <d v="2025-09-02T00:00:00"/>
    <d v="2025-09-27T00:00:00"/>
    <n v="9.8000000000000007"/>
    <b v="1"/>
    <n v="83.4"/>
    <s v="Completed"/>
  </r>
  <r>
    <n v="178"/>
    <s v="Isabella Taylor"/>
    <x v="3"/>
    <s v="Power BI Fundamentals"/>
    <s v="Technical"/>
    <d v="2025-11-27T00:00:00"/>
    <d v="2025-12-31T00:00:00"/>
    <n v="18.600000000000001"/>
    <b v="1"/>
    <n v="90.9"/>
    <s v="Completed"/>
  </r>
  <r>
    <n v="179"/>
    <s v="Isabella Taylor"/>
    <x v="3"/>
    <s v="Communication Skills"/>
    <s v="Soft Skills"/>
    <d v="2025-04-04T00:00:00"/>
    <d v="2025-05-03T00:00:00"/>
    <n v="36.299999999999997"/>
    <b v="0"/>
    <n v="70.599999999999994"/>
    <s v="Completed"/>
  </r>
  <r>
    <n v="180"/>
    <s v="Isabella Taylor"/>
    <x v="3"/>
    <s v="Fire Safety"/>
    <s v="Safety"/>
    <d v="2026-01-16T00:00:00"/>
    <d v="2026-02-14T00:00:00"/>
    <n v="20.2"/>
    <b v="0"/>
    <n v="88.4"/>
    <s v="Completed"/>
  </r>
  <r>
    <n v="181"/>
    <s v="Isabella Taylor"/>
    <x v="3"/>
    <s v="Python for Analysts"/>
    <s v="Technical"/>
    <d v="2026-01-19T00:00:00"/>
    <d v="2026-02-15T00:00:00"/>
    <n v="23.1"/>
    <b v="0"/>
    <n v="69.8"/>
    <s v="Completed"/>
  </r>
  <r>
    <n v="182"/>
    <s v="James Anderson"/>
    <x v="4"/>
    <s v="Communication Skills"/>
    <s v="Soft Skills"/>
    <d v="2025-01-17T00:00:00"/>
    <m/>
    <n v="32"/>
    <b v="0"/>
    <m/>
    <s v="Not Started"/>
  </r>
  <r>
    <n v="183"/>
    <s v="James Anderson"/>
    <x v="4"/>
    <s v="Team Collaboration"/>
    <s v="Soft Skills"/>
    <d v="2025-05-07T00:00:00"/>
    <d v="2025-05-31T00:00:00"/>
    <n v="23.3"/>
    <b v="1"/>
    <n v="65.3"/>
    <s v="Completed"/>
  </r>
  <r>
    <n v="184"/>
    <s v="James Anderson"/>
    <x v="4"/>
    <s v="Communication Skills"/>
    <s v="Soft Skills"/>
    <d v="2025-03-24T00:00:00"/>
    <d v="2025-05-06T00:00:00"/>
    <n v="38.299999999999997"/>
    <b v="0"/>
    <n v="82.2"/>
    <s v="Completed"/>
  </r>
  <r>
    <n v="185"/>
    <s v="James Anderson"/>
    <x v="4"/>
    <s v="Fire Safety"/>
    <s v="Safety"/>
    <d v="2025-03-15T00:00:00"/>
    <d v="2025-03-30T00:00:00"/>
    <n v="8.3000000000000007"/>
    <b v="1"/>
    <n v="72.900000000000006"/>
    <s v="Completed"/>
  </r>
  <r>
    <n v="186"/>
    <s v="James Anderson"/>
    <x v="4"/>
    <s v="First Aid"/>
    <s v="Safety"/>
    <d v="2025-02-02T00:00:00"/>
    <d v="2025-02-25T00:00:00"/>
    <n v="23.1"/>
    <b v="0"/>
    <n v="99.5"/>
    <s v="Completed"/>
  </r>
  <r>
    <n v="187"/>
    <s v="James Anderson"/>
    <x v="4"/>
    <s v="SQL Basics"/>
    <s v="Technical"/>
    <d v="2026-01-03T00:00:00"/>
    <d v="2026-02-06T00:00:00"/>
    <n v="9.5"/>
    <b v="1"/>
    <n v="73.7"/>
    <s v="Completed"/>
  </r>
  <r>
    <n v="188"/>
    <s v="James Anderson"/>
    <x v="4"/>
    <s v="Leadership Essentials"/>
    <s v="Leadership"/>
    <d v="2026-02-24T00:00:00"/>
    <m/>
    <n v="26.4"/>
    <b v="0"/>
    <m/>
    <s v="Not Started"/>
  </r>
  <r>
    <n v="189"/>
    <s v="James Anderson"/>
    <x v="4"/>
    <s v="SQL Basics"/>
    <s v="Technical"/>
    <d v="2025-10-14T00:00:00"/>
    <d v="2025-11-19T00:00:00"/>
    <n v="37.299999999999997"/>
    <b v="1"/>
    <n v="85.6"/>
    <s v="Completed"/>
  </r>
  <r>
    <n v="190"/>
    <s v="James Anderson"/>
    <x v="4"/>
    <s v="Data Privacy GDPR"/>
    <s v="Compliance"/>
    <d v="2025-09-06T00:00:00"/>
    <d v="2025-10-20T00:00:00"/>
    <n v="6.2"/>
    <b v="1"/>
    <n v="65.2"/>
    <s v="Completed"/>
  </r>
  <r>
    <n v="191"/>
    <s v="James Anderson"/>
    <x v="4"/>
    <s v="Leadership Essentials"/>
    <s v="Leadership"/>
    <d v="2025-12-21T00:00:00"/>
    <d v="2026-01-20T00:00:00"/>
    <n v="37.200000000000003"/>
    <b v="1"/>
    <n v="89"/>
    <s v="Completed"/>
  </r>
  <r>
    <n v="192"/>
    <s v="James Anderson"/>
    <x v="4"/>
    <s v="Anti-Corruption Policy"/>
    <s v="Compliance"/>
    <d v="2025-05-17T00:00:00"/>
    <m/>
    <n v="21"/>
    <b v="0"/>
    <m/>
    <s v="In Progress"/>
  </r>
  <r>
    <n v="193"/>
    <s v="James Anderson"/>
    <x v="4"/>
    <s v="Health Regulations"/>
    <s v="Compliance"/>
    <d v="2025-08-25T00:00:00"/>
    <d v="2025-09-12T00:00:00"/>
    <n v="28.4"/>
    <b v="1"/>
    <n v="61.6"/>
    <s v="Completed"/>
  </r>
  <r>
    <n v="194"/>
    <s v="James Anderson"/>
    <x v="4"/>
    <s v="Workplace Ergonomics"/>
    <s v="Safety"/>
    <d v="2025-05-11T00:00:00"/>
    <m/>
    <n v="39.700000000000003"/>
    <b v="0"/>
    <m/>
    <s v="In Progress"/>
  </r>
  <r>
    <n v="195"/>
    <s v="James Anderson"/>
    <x v="4"/>
    <s v="Coaching Skills"/>
    <s v="Leadership"/>
    <d v="2025-12-04T00:00:00"/>
    <d v="2026-01-04T00:00:00"/>
    <n v="38.1"/>
    <b v="1"/>
    <n v="89.5"/>
    <s v="Completed"/>
  </r>
  <r>
    <n v="196"/>
    <s v="James Anderson"/>
    <x v="4"/>
    <s v="Conflict Resolution"/>
    <s v="Soft Skills"/>
    <d v="2026-02-07T00:00:00"/>
    <m/>
    <n v="22.3"/>
    <b v="0"/>
    <m/>
    <s v="In Progress"/>
  </r>
  <r>
    <n v="197"/>
    <s v="James Anderson"/>
    <x v="4"/>
    <s v="Health Regulations"/>
    <s v="Compliance"/>
    <d v="2025-05-29T00:00:00"/>
    <m/>
    <n v="16.3"/>
    <b v="0"/>
    <m/>
    <s v="In Progress"/>
  </r>
  <r>
    <n v="198"/>
    <s v="James Anderson"/>
    <x v="4"/>
    <s v="Anti-Corruption Policy"/>
    <s v="Compliance"/>
    <d v="2025-07-28T00:00:00"/>
    <d v="2025-08-19T00:00:00"/>
    <n v="7.3"/>
    <b v="1"/>
    <n v="86.2"/>
    <s v="Completed"/>
  </r>
  <r>
    <n v="199"/>
    <s v="James Anderson"/>
    <x v="4"/>
    <s v="Code of Conduct"/>
    <s v="Compliance"/>
    <d v="2025-05-18T00:00:00"/>
    <d v="2025-05-23T00:00:00"/>
    <n v="11.1"/>
    <b v="1"/>
    <n v="94.4"/>
    <s v="Completed"/>
  </r>
  <r>
    <n v="200"/>
    <s v="James Anderson"/>
    <x v="4"/>
    <s v="Data Privacy GDPR"/>
    <s v="Compliance"/>
    <d v="2026-02-15T00:00:00"/>
    <d v="2026-03-18T00:00:00"/>
    <n v="13.9"/>
    <b v="0"/>
    <n v="71.3"/>
    <s v="Completed"/>
  </r>
  <r>
    <n v="201"/>
    <s v="James Anderson"/>
    <x v="4"/>
    <s v="Team Collaboration"/>
    <s v="Soft Skills"/>
    <d v="2026-02-16T00:00:00"/>
    <d v="2026-03-29T00:00:00"/>
    <n v="23.5"/>
    <b v="1"/>
    <n v="98.1"/>
    <s v="Completed"/>
  </r>
  <r>
    <n v="202"/>
    <s v="James Anderson"/>
    <x v="4"/>
    <s v="Coaching Skills"/>
    <s v="Leadership"/>
    <d v="2025-12-02T00:00:00"/>
    <m/>
    <n v="15.5"/>
    <b v="0"/>
    <m/>
    <s v="In Progress"/>
  </r>
  <r>
    <n v="203"/>
    <s v="James Anderson"/>
    <x v="4"/>
    <s v="Health Regulations"/>
    <s v="Compliance"/>
    <d v="2025-08-22T00:00:00"/>
    <m/>
    <n v="4.8"/>
    <b v="0"/>
    <m/>
    <s v="In Progress"/>
  </r>
  <r>
    <n v="204"/>
    <s v="James Anderson"/>
    <x v="4"/>
    <s v="Change Management"/>
    <s v="Leadership"/>
    <d v="2025-11-12T00:00:00"/>
    <m/>
    <n v="20"/>
    <b v="0"/>
    <m/>
    <s v="In Progress"/>
  </r>
  <r>
    <n v="205"/>
    <s v="Karen Thomas"/>
    <x v="0"/>
    <s v="Hazard Identification"/>
    <s v="Safety"/>
    <d v="2026-01-20T00:00:00"/>
    <d v="2026-02-07T00:00:00"/>
    <n v="21.6"/>
    <b v="1"/>
    <n v="73.400000000000006"/>
    <s v="Completed"/>
  </r>
  <r>
    <n v="206"/>
    <s v="Karen Thomas"/>
    <x v="0"/>
    <s v="Presentation Skills"/>
    <s v="Soft Skills"/>
    <d v="2025-04-20T00:00:00"/>
    <m/>
    <n v="34.4"/>
    <b v="0"/>
    <n v="51.6"/>
    <s v="Failed"/>
  </r>
  <r>
    <n v="207"/>
    <s v="Karen Thomas"/>
    <x v="0"/>
    <s v="Hazard Identification"/>
    <s v="Safety"/>
    <d v="2025-12-11T00:00:00"/>
    <d v="2025-12-25T00:00:00"/>
    <n v="20.399999999999999"/>
    <b v="0"/>
    <n v="85.8"/>
    <s v="Completed"/>
  </r>
  <r>
    <n v="208"/>
    <s v="Karen Thomas"/>
    <x v="0"/>
    <s v="Code of Conduct"/>
    <s v="Compliance"/>
    <d v="2025-05-11T00:00:00"/>
    <m/>
    <n v="18.8"/>
    <b v="0"/>
    <m/>
    <s v="In Progress"/>
  </r>
  <r>
    <n v="209"/>
    <s v="Karen Thomas"/>
    <x v="0"/>
    <s v="Conflict Resolution"/>
    <s v="Soft Skills"/>
    <d v="2025-04-09T00:00:00"/>
    <m/>
    <n v="10"/>
    <b v="0"/>
    <m/>
    <s v="Not Started"/>
  </r>
  <r>
    <n v="210"/>
    <s v="Karen Thomas"/>
    <x v="0"/>
    <s v="Workplace Ergonomics"/>
    <s v="Safety"/>
    <d v="2025-01-04T00:00:00"/>
    <m/>
    <n v="34.200000000000003"/>
    <b v="0"/>
    <m/>
    <s v="Not Started"/>
  </r>
  <r>
    <n v="211"/>
    <s v="Karen Thomas"/>
    <x v="0"/>
    <s v="Communication Skills"/>
    <s v="Soft Skills"/>
    <d v="2025-03-04T00:00:00"/>
    <d v="2025-04-05T00:00:00"/>
    <n v="18"/>
    <b v="1"/>
    <n v="67.7"/>
    <s v="Completed"/>
  </r>
  <r>
    <n v="212"/>
    <s v="Karen Thomas"/>
    <x v="0"/>
    <s v="Health Regulations"/>
    <s v="Compliance"/>
    <d v="2025-03-11T00:00:00"/>
    <m/>
    <n v="37.6"/>
    <b v="0"/>
    <m/>
    <s v="In Progress"/>
  </r>
  <r>
    <n v="213"/>
    <s v="Karen Thomas"/>
    <x v="0"/>
    <s v="Change Management"/>
    <s v="Leadership"/>
    <d v="2026-03-18T00:00:00"/>
    <d v="2026-04-17T00:00:00"/>
    <n v="32.5"/>
    <b v="1"/>
    <n v="95.4"/>
    <s v="Completed"/>
  </r>
  <r>
    <n v="214"/>
    <s v="Karen Thomas"/>
    <x v="0"/>
    <s v="Python for Analysts"/>
    <s v="Technical"/>
    <d v="2025-10-26T00:00:00"/>
    <m/>
    <n v="10.3"/>
    <b v="0"/>
    <m/>
    <s v="Not Started"/>
  </r>
  <r>
    <n v="215"/>
    <s v="Karen Thomas"/>
    <x v="0"/>
    <s v="Python for Analysts"/>
    <s v="Technical"/>
    <d v="2025-07-10T00:00:00"/>
    <d v="2025-08-04T00:00:00"/>
    <n v="28.7"/>
    <b v="1"/>
    <n v="99.7"/>
    <s v="Completed"/>
  </r>
  <r>
    <n v="216"/>
    <s v="Karen Thomas"/>
    <x v="0"/>
    <s v="Leadership Essentials"/>
    <s v="Leadership"/>
    <d v="2026-03-26T00:00:00"/>
    <d v="2026-04-01T00:00:00"/>
    <n v="30.2"/>
    <b v="1"/>
    <n v="72.7"/>
    <s v="Completed"/>
  </r>
  <r>
    <n v="217"/>
    <s v="Karen Thomas"/>
    <x v="0"/>
    <s v="Change Management"/>
    <s v="Leadership"/>
    <d v="2025-07-27T00:00:00"/>
    <d v="2025-08-08T00:00:00"/>
    <n v="28.2"/>
    <b v="1"/>
    <n v="91.5"/>
    <s v="Completed"/>
  </r>
  <r>
    <n v="218"/>
    <s v="Karen Thomas"/>
    <x v="0"/>
    <s v="Coaching Skills"/>
    <s v="Leadership"/>
    <d v="2026-01-10T00:00:00"/>
    <d v="2026-02-20T00:00:00"/>
    <n v="15.6"/>
    <b v="1"/>
    <n v="92.1"/>
    <s v="Completed"/>
  </r>
  <r>
    <n v="219"/>
    <s v="Karen Thomas"/>
    <x v="0"/>
    <s v="Fire Safety"/>
    <s v="Safety"/>
    <d v="2025-08-10T00:00:00"/>
    <d v="2025-08-23T00:00:00"/>
    <n v="35.6"/>
    <b v="0"/>
    <n v="66.099999999999994"/>
    <s v="Completed"/>
  </r>
  <r>
    <n v="220"/>
    <s v="Karen Thomas"/>
    <x v="0"/>
    <s v="Workplace Ergonomics"/>
    <s v="Safety"/>
    <d v="2025-08-29T00:00:00"/>
    <d v="2025-09-14T00:00:00"/>
    <n v="4"/>
    <b v="1"/>
    <n v="91"/>
    <s v="Completed"/>
  </r>
  <r>
    <n v="221"/>
    <s v="Karen Thomas"/>
    <x v="0"/>
    <s v="Python for Analysts"/>
    <s v="Technical"/>
    <d v="2025-01-16T00:00:00"/>
    <m/>
    <n v="10"/>
    <b v="0"/>
    <m/>
    <s v="Not Started"/>
  </r>
  <r>
    <n v="222"/>
    <s v="Karen Thomas"/>
    <x v="0"/>
    <s v="Data Privacy GDPR"/>
    <s v="Compliance"/>
    <d v="2025-03-08T00:00:00"/>
    <m/>
    <n v="23.4"/>
    <b v="0"/>
    <m/>
    <s v="Not Started"/>
  </r>
  <r>
    <n v="223"/>
    <s v="Karen Thomas"/>
    <x v="0"/>
    <s v="Workplace Ergonomics"/>
    <s v="Safety"/>
    <d v="2026-01-04T00:00:00"/>
    <d v="2026-01-10T00:00:00"/>
    <n v="30.6"/>
    <b v="1"/>
    <n v="90.1"/>
    <s v="Completed"/>
  </r>
  <r>
    <n v="224"/>
    <s v="Liam Jackson"/>
    <x v="1"/>
    <s v="Team Collaboration"/>
    <s v="Soft Skills"/>
    <d v="2025-08-31T00:00:00"/>
    <d v="2025-10-05T00:00:00"/>
    <n v="17.2"/>
    <b v="0"/>
    <n v="68.3"/>
    <s v="Completed"/>
  </r>
  <r>
    <n v="225"/>
    <s v="Liam Jackson"/>
    <x v="1"/>
    <s v="Health Regulations"/>
    <s v="Compliance"/>
    <d v="2026-03-09T00:00:00"/>
    <d v="2026-03-18T00:00:00"/>
    <n v="10.3"/>
    <b v="0"/>
    <n v="92.9"/>
    <s v="Completed"/>
  </r>
  <r>
    <n v="226"/>
    <s v="Liam Jackson"/>
    <x v="1"/>
    <s v="Excel Advanced"/>
    <s v="Technical"/>
    <d v="2025-11-11T00:00:00"/>
    <d v="2025-12-25T00:00:00"/>
    <n v="27.5"/>
    <b v="1"/>
    <n v="75.7"/>
    <s v="Completed"/>
  </r>
  <r>
    <n v="227"/>
    <s v="Liam Jackson"/>
    <x v="1"/>
    <s v="SQL Basics"/>
    <s v="Technical"/>
    <d v="2026-03-05T00:00:00"/>
    <m/>
    <n v="10.9"/>
    <b v="0"/>
    <m/>
    <s v="Not Started"/>
  </r>
  <r>
    <n v="228"/>
    <s v="Liam Jackson"/>
    <x v="1"/>
    <s v="Data Privacy GDPR"/>
    <s v="Compliance"/>
    <d v="2025-08-01T00:00:00"/>
    <d v="2025-09-01T00:00:00"/>
    <n v="30.5"/>
    <b v="1"/>
    <n v="82"/>
    <s v="Completed"/>
  </r>
  <r>
    <n v="229"/>
    <s v="Liam Jackson"/>
    <x v="1"/>
    <s v="Presentation Skills"/>
    <s v="Soft Skills"/>
    <d v="2025-06-16T00:00:00"/>
    <d v="2025-07-19T00:00:00"/>
    <n v="5.8"/>
    <b v="1"/>
    <n v="79.400000000000006"/>
    <s v="Completed"/>
  </r>
  <r>
    <n v="230"/>
    <s v="Liam Jackson"/>
    <x v="1"/>
    <s v="Anti-Corruption Policy"/>
    <s v="Compliance"/>
    <d v="2025-05-10T00:00:00"/>
    <m/>
    <n v="33.799999999999997"/>
    <b v="0"/>
    <m/>
    <s v="Not Started"/>
  </r>
  <r>
    <n v="231"/>
    <s v="Liam Jackson"/>
    <x v="1"/>
    <s v="Team Collaboration"/>
    <s v="Soft Skills"/>
    <d v="2025-03-12T00:00:00"/>
    <d v="2025-04-01T00:00:00"/>
    <n v="22.8"/>
    <b v="1"/>
    <n v="82.6"/>
    <s v="Completed"/>
  </r>
  <r>
    <n v="232"/>
    <s v="Liam Jackson"/>
    <x v="1"/>
    <s v="Code of Conduct"/>
    <s v="Compliance"/>
    <d v="2026-01-15T00:00:00"/>
    <d v="2026-01-22T00:00:00"/>
    <n v="11.6"/>
    <b v="1"/>
    <n v="85.9"/>
    <s v="Completed"/>
  </r>
  <r>
    <n v="233"/>
    <s v="Liam Jackson"/>
    <x v="1"/>
    <s v="Data Privacy GDPR"/>
    <s v="Compliance"/>
    <d v="2026-01-13T00:00:00"/>
    <d v="2026-02-22T00:00:00"/>
    <n v="21.1"/>
    <b v="1"/>
    <n v="62.4"/>
    <s v="Completed"/>
  </r>
  <r>
    <n v="234"/>
    <s v="Liam Jackson"/>
    <x v="1"/>
    <s v="Communication Skills"/>
    <s v="Soft Skills"/>
    <d v="2025-08-02T00:00:00"/>
    <d v="2025-08-30T00:00:00"/>
    <n v="28.5"/>
    <b v="0"/>
    <n v="64"/>
    <s v="Completed"/>
  </r>
  <r>
    <n v="235"/>
    <s v="Liam Jackson"/>
    <x v="1"/>
    <s v="Leadership Essentials"/>
    <s v="Leadership"/>
    <d v="2025-02-17T00:00:00"/>
    <d v="2025-03-10T00:00:00"/>
    <n v="8.8000000000000007"/>
    <b v="1"/>
    <n v="72.8"/>
    <s v="Completed"/>
  </r>
  <r>
    <n v="236"/>
    <s v="Liam Jackson"/>
    <x v="1"/>
    <s v="Conflict Resolution"/>
    <s v="Soft Skills"/>
    <d v="2025-04-20T00:00:00"/>
    <d v="2025-04-27T00:00:00"/>
    <n v="13.5"/>
    <b v="1"/>
    <n v="68.2"/>
    <s v="Completed"/>
  </r>
  <r>
    <n v="237"/>
    <s v="Liam Jackson"/>
    <x v="1"/>
    <s v="Hazard Identification"/>
    <s v="Safety"/>
    <d v="2025-01-15T00:00:00"/>
    <d v="2025-02-26T00:00:00"/>
    <n v="7.9"/>
    <b v="0"/>
    <n v="84.8"/>
    <s v="Completed"/>
  </r>
  <r>
    <n v="238"/>
    <s v="Liam Jackson"/>
    <x v="1"/>
    <s v="Leadership Essentials"/>
    <s v="Leadership"/>
    <d v="2025-03-31T00:00:00"/>
    <m/>
    <n v="33.5"/>
    <b v="0"/>
    <m/>
    <s v="Not Started"/>
  </r>
  <r>
    <n v="239"/>
    <s v="Liam Jackson"/>
    <x v="1"/>
    <s v="Code of Conduct"/>
    <s v="Compliance"/>
    <d v="2025-03-06T00:00:00"/>
    <d v="2025-04-19T00:00:00"/>
    <n v="18.399999999999999"/>
    <b v="1"/>
    <n v="97.9"/>
    <s v="Completed"/>
  </r>
  <r>
    <n v="240"/>
    <s v="Liam Jackson"/>
    <x v="1"/>
    <s v="Power BI Fundamentals"/>
    <s v="Technical"/>
    <d v="2026-02-17T00:00:00"/>
    <d v="2026-03-26T00:00:00"/>
    <n v="39.200000000000003"/>
    <b v="1"/>
    <n v="79.7"/>
    <s v="Completed"/>
  </r>
  <r>
    <n v="241"/>
    <s v="Liam Jackson"/>
    <x v="1"/>
    <s v="Presentation Skills"/>
    <s v="Soft Skills"/>
    <d v="2026-03-07T00:00:00"/>
    <d v="2026-03-27T00:00:00"/>
    <n v="25.1"/>
    <b v="0"/>
    <n v="72.8"/>
    <s v="Completed"/>
  </r>
  <r>
    <n v="242"/>
    <s v="Maria Harris"/>
    <x v="2"/>
    <s v="SQL Basics"/>
    <s v="Technical"/>
    <d v="2025-02-16T00:00:00"/>
    <m/>
    <n v="16.899999999999999"/>
    <b v="0"/>
    <m/>
    <s v="In Progress"/>
  </r>
  <r>
    <n v="243"/>
    <s v="Maria Harris"/>
    <x v="2"/>
    <s v="First Aid"/>
    <s v="Safety"/>
    <d v="2025-07-03T00:00:00"/>
    <m/>
    <n v="37.4"/>
    <b v="0"/>
    <m/>
    <s v="In Progress"/>
  </r>
  <r>
    <n v="244"/>
    <s v="Maria Harris"/>
    <x v="2"/>
    <s v="Strategic Thinking"/>
    <s v="Leadership"/>
    <d v="2026-02-24T00:00:00"/>
    <d v="2026-03-30T00:00:00"/>
    <n v="20.2"/>
    <b v="1"/>
    <n v="78.5"/>
    <s v="Completed"/>
  </r>
  <r>
    <n v="245"/>
    <s v="Maria Harris"/>
    <x v="2"/>
    <s v="Conflict Resolution"/>
    <s v="Soft Skills"/>
    <d v="2025-10-24T00:00:00"/>
    <d v="2025-11-12T00:00:00"/>
    <n v="16.399999999999999"/>
    <b v="1"/>
    <n v="63.8"/>
    <s v="Completed"/>
  </r>
  <r>
    <n v="246"/>
    <s v="Maria Harris"/>
    <x v="2"/>
    <s v="Change Management"/>
    <s v="Leadership"/>
    <d v="2025-03-16T00:00:00"/>
    <d v="2025-04-10T00:00:00"/>
    <n v="11.7"/>
    <b v="1"/>
    <n v="90.2"/>
    <s v="Completed"/>
  </r>
  <r>
    <n v="247"/>
    <s v="Maria Harris"/>
    <x v="2"/>
    <s v="Code of Conduct"/>
    <s v="Compliance"/>
    <d v="2025-04-26T00:00:00"/>
    <m/>
    <n v="25.5"/>
    <b v="0"/>
    <n v="31.5"/>
    <s v="Failed"/>
  </r>
  <r>
    <n v="248"/>
    <s v="Maria Harris"/>
    <x v="2"/>
    <s v="First Aid"/>
    <s v="Safety"/>
    <d v="2026-03-02T00:00:00"/>
    <m/>
    <n v="24.8"/>
    <b v="0"/>
    <n v="31.1"/>
    <s v="Failed"/>
  </r>
  <r>
    <n v="249"/>
    <s v="Maria Harris"/>
    <x v="2"/>
    <s v="Presentation Skills"/>
    <s v="Soft Skills"/>
    <d v="2025-11-03T00:00:00"/>
    <d v="2025-12-14T00:00:00"/>
    <n v="30.8"/>
    <b v="1"/>
    <n v="79.900000000000006"/>
    <s v="Completed"/>
  </r>
  <r>
    <n v="250"/>
    <s v="Maria Harris"/>
    <x v="2"/>
    <s v="Leadership Essentials"/>
    <s v="Leadership"/>
    <d v="2025-07-29T00:00:00"/>
    <m/>
    <n v="15.9"/>
    <b v="0"/>
    <m/>
    <s v="Not Started"/>
  </r>
  <r>
    <n v="251"/>
    <s v="Maria Harris"/>
    <x v="2"/>
    <s v="SQL Basics"/>
    <s v="Technical"/>
    <d v="2026-01-31T00:00:00"/>
    <m/>
    <n v="13.7"/>
    <b v="0"/>
    <m/>
    <s v="In Progress"/>
  </r>
  <r>
    <n v="252"/>
    <s v="Maria Harris"/>
    <x v="2"/>
    <s v="Team Collaboration"/>
    <s v="Soft Skills"/>
    <d v="2025-03-14T00:00:00"/>
    <d v="2025-04-05T00:00:00"/>
    <n v="23.3"/>
    <b v="1"/>
    <n v="98.5"/>
    <s v="Completed"/>
  </r>
  <r>
    <n v="253"/>
    <s v="Maria Harris"/>
    <x v="2"/>
    <s v="Health Regulations"/>
    <s v="Compliance"/>
    <d v="2026-01-21T00:00:00"/>
    <m/>
    <n v="35.6"/>
    <b v="0"/>
    <m/>
    <s v="In Progress"/>
  </r>
  <r>
    <n v="254"/>
    <s v="Maria Harris"/>
    <x v="2"/>
    <s v="Power BI Fundamentals"/>
    <s v="Technical"/>
    <d v="2025-06-18T00:00:00"/>
    <m/>
    <n v="21.3"/>
    <b v="0"/>
    <m/>
    <s v="Not Started"/>
  </r>
  <r>
    <n v="255"/>
    <s v="Maria Harris"/>
    <x v="2"/>
    <s v="Python for Analysts"/>
    <s v="Technical"/>
    <d v="2025-09-11T00:00:00"/>
    <m/>
    <n v="19.3"/>
    <b v="0"/>
    <m/>
    <s v="In Progress"/>
  </r>
  <r>
    <n v="256"/>
    <s v="Maria Harris"/>
    <x v="2"/>
    <s v="Hazard Identification"/>
    <s v="Safety"/>
    <d v="2025-06-16T00:00:00"/>
    <d v="2025-06-26T00:00:00"/>
    <n v="32.6"/>
    <b v="1"/>
    <n v="71.400000000000006"/>
    <s v="Completed"/>
  </r>
  <r>
    <n v="257"/>
    <s v="Maria Harris"/>
    <x v="2"/>
    <s v="Coaching Skills"/>
    <s v="Leadership"/>
    <d v="2025-05-17T00:00:00"/>
    <d v="2025-06-20T00:00:00"/>
    <n v="22.7"/>
    <b v="1"/>
    <n v="87.6"/>
    <s v="Completed"/>
  </r>
  <r>
    <n v="258"/>
    <s v="Maria Harris"/>
    <x v="2"/>
    <s v="First Aid"/>
    <s v="Safety"/>
    <d v="2025-03-15T00:00:00"/>
    <d v="2025-04-14T00:00:00"/>
    <n v="26.3"/>
    <b v="0"/>
    <n v="78.5"/>
    <s v="Completed"/>
  </r>
  <r>
    <n v="259"/>
    <s v="Maria Harris"/>
    <x v="2"/>
    <s v="Health Regulations"/>
    <s v="Compliance"/>
    <d v="2025-08-24T00:00:00"/>
    <d v="2025-10-05T00:00:00"/>
    <n v="10.8"/>
    <b v="1"/>
    <n v="63.9"/>
    <s v="Completed"/>
  </r>
  <r>
    <n v="260"/>
    <s v="Maria Harris"/>
    <x v="2"/>
    <s v="Team Collaboration"/>
    <s v="Soft Skills"/>
    <d v="2026-03-03T00:00:00"/>
    <m/>
    <n v="39.1"/>
    <b v="0"/>
    <m/>
    <s v="Not Started"/>
  </r>
  <r>
    <n v="261"/>
    <s v="Nathan Clark"/>
    <x v="3"/>
    <s v="Communication Skills"/>
    <s v="Soft Skills"/>
    <d v="2025-09-20T00:00:00"/>
    <m/>
    <n v="26.8"/>
    <b v="0"/>
    <m/>
    <s v="Not Started"/>
  </r>
  <r>
    <n v="262"/>
    <s v="Nathan Clark"/>
    <x v="3"/>
    <s v="Conflict Resolution"/>
    <s v="Soft Skills"/>
    <d v="2025-03-02T00:00:00"/>
    <d v="2025-03-24T00:00:00"/>
    <n v="23.2"/>
    <b v="1"/>
    <n v="98.3"/>
    <s v="Completed"/>
  </r>
  <r>
    <n v="263"/>
    <s v="Nathan Clark"/>
    <x v="3"/>
    <s v="Data Privacy GDPR"/>
    <s v="Compliance"/>
    <d v="2025-04-02T00:00:00"/>
    <d v="2025-05-05T00:00:00"/>
    <n v="36.5"/>
    <b v="0"/>
    <n v="97.4"/>
    <s v="Completed"/>
  </r>
  <r>
    <n v="264"/>
    <s v="Nathan Clark"/>
    <x v="3"/>
    <s v="Health Regulations"/>
    <s v="Compliance"/>
    <d v="2026-02-15T00:00:00"/>
    <d v="2026-02-24T00:00:00"/>
    <n v="34"/>
    <b v="0"/>
    <n v="81.400000000000006"/>
    <s v="Completed"/>
  </r>
  <r>
    <n v="265"/>
    <s v="Nathan Clark"/>
    <x v="3"/>
    <s v="SQL Basics"/>
    <s v="Technical"/>
    <d v="2026-01-28T00:00:00"/>
    <d v="2026-02-24T00:00:00"/>
    <n v="20"/>
    <b v="0"/>
    <n v="98.8"/>
    <s v="Completed"/>
  </r>
  <r>
    <n v="266"/>
    <s v="Nathan Clark"/>
    <x v="3"/>
    <s v="Conflict Resolution"/>
    <s v="Soft Skills"/>
    <d v="2025-12-23T00:00:00"/>
    <d v="2026-01-04T00:00:00"/>
    <n v="38.700000000000003"/>
    <b v="0"/>
    <n v="94.7"/>
    <s v="Completed"/>
  </r>
  <r>
    <n v="267"/>
    <s v="Nathan Clark"/>
    <x v="3"/>
    <s v="Power BI Fundamentals"/>
    <s v="Technical"/>
    <d v="2025-09-01T00:00:00"/>
    <m/>
    <n v="34.299999999999997"/>
    <b v="0"/>
    <n v="33.700000000000003"/>
    <s v="Failed"/>
  </r>
  <r>
    <n v="268"/>
    <s v="Nathan Clark"/>
    <x v="3"/>
    <s v="Hazard Identification"/>
    <s v="Safety"/>
    <d v="2025-05-16T00:00:00"/>
    <d v="2025-06-11T00:00:00"/>
    <n v="36.4"/>
    <b v="1"/>
    <n v="88.2"/>
    <s v="Completed"/>
  </r>
  <r>
    <n v="269"/>
    <s v="Nathan Clark"/>
    <x v="3"/>
    <s v="Anti-Corruption Policy"/>
    <s v="Compliance"/>
    <d v="2025-07-25T00:00:00"/>
    <d v="2025-08-17T00:00:00"/>
    <n v="17"/>
    <b v="1"/>
    <n v="63.6"/>
    <s v="Completed"/>
  </r>
  <r>
    <n v="270"/>
    <s v="Nathan Clark"/>
    <x v="3"/>
    <s v="Data Privacy GDPR"/>
    <s v="Compliance"/>
    <d v="2025-09-13T00:00:00"/>
    <d v="2025-10-19T00:00:00"/>
    <n v="37.5"/>
    <b v="1"/>
    <n v="61.4"/>
    <s v="Completed"/>
  </r>
  <r>
    <n v="271"/>
    <s v="Nathan Clark"/>
    <x v="3"/>
    <s v="Communication Skills"/>
    <s v="Soft Skills"/>
    <d v="2026-01-23T00:00:00"/>
    <m/>
    <n v="11.9"/>
    <b v="0"/>
    <n v="57.1"/>
    <s v="Failed"/>
  </r>
  <r>
    <n v="272"/>
    <s v="Nathan Clark"/>
    <x v="3"/>
    <s v="Hazard Identification"/>
    <s v="Safety"/>
    <d v="2025-01-19T00:00:00"/>
    <d v="2025-02-02T00:00:00"/>
    <n v="9.5"/>
    <b v="0"/>
    <n v="67.8"/>
    <s v="Completed"/>
  </r>
  <r>
    <n v="273"/>
    <s v="Nathan Clark"/>
    <x v="3"/>
    <s v="Power BI Fundamentals"/>
    <s v="Technical"/>
    <d v="2025-06-13T00:00:00"/>
    <d v="2025-07-24T00:00:00"/>
    <n v="26.5"/>
    <b v="0"/>
    <n v="92"/>
    <s v="Completed"/>
  </r>
  <r>
    <n v="274"/>
    <s v="Nathan Clark"/>
    <x v="3"/>
    <s v="First Aid"/>
    <s v="Safety"/>
    <d v="2025-10-21T00:00:00"/>
    <m/>
    <n v="16.5"/>
    <b v="0"/>
    <n v="36.6"/>
    <s v="Failed"/>
  </r>
  <r>
    <n v="275"/>
    <s v="Nathan Clark"/>
    <x v="3"/>
    <s v="Change Management"/>
    <s v="Leadership"/>
    <d v="2025-10-07T00:00:00"/>
    <d v="2025-11-18T00:00:00"/>
    <n v="31.7"/>
    <b v="1"/>
    <n v="67.3"/>
    <s v="Completed"/>
  </r>
  <r>
    <n v="276"/>
    <s v="Nathan Clark"/>
    <x v="3"/>
    <s v="Anti-Corruption Policy"/>
    <s v="Compliance"/>
    <d v="2025-03-25T00:00:00"/>
    <m/>
    <n v="19.7"/>
    <b v="0"/>
    <m/>
    <s v="In Progress"/>
  </r>
  <r>
    <n v="277"/>
    <s v="Nathan Clark"/>
    <x v="3"/>
    <s v="Fire Safety"/>
    <s v="Safety"/>
    <d v="2025-12-12T00:00:00"/>
    <d v="2026-01-14T00:00:00"/>
    <n v="37.700000000000003"/>
    <b v="0"/>
    <n v="64.3"/>
    <s v="Completed"/>
  </r>
  <r>
    <n v="278"/>
    <s v="Nathan Clark"/>
    <x v="3"/>
    <s v="Change Management"/>
    <s v="Leadership"/>
    <d v="2025-08-27T00:00:00"/>
    <d v="2025-09-21T00:00:00"/>
    <n v="19.7"/>
    <b v="1"/>
    <n v="79.5"/>
    <s v="Completed"/>
  </r>
  <r>
    <n v="279"/>
    <s v="Nathan Clark"/>
    <x v="3"/>
    <s v="Change Management"/>
    <s v="Leadership"/>
    <d v="2026-02-19T00:00:00"/>
    <d v="2026-03-12T00:00:00"/>
    <n v="25.3"/>
    <b v="0"/>
    <n v="85.5"/>
    <s v="Completed"/>
  </r>
  <r>
    <n v="280"/>
    <s v="Nathan Clark"/>
    <x v="3"/>
    <s v="Data Privacy GDPR"/>
    <s v="Compliance"/>
    <d v="2025-09-27T00:00:00"/>
    <d v="2025-11-10T00:00:00"/>
    <n v="36.299999999999997"/>
    <b v="1"/>
    <n v="62.4"/>
    <s v="Completed"/>
  </r>
  <r>
    <n v="281"/>
    <s v="Olivia Lewis"/>
    <x v="4"/>
    <s v="First Aid"/>
    <s v="Safety"/>
    <d v="2025-10-19T00:00:00"/>
    <d v="2025-11-22T00:00:00"/>
    <n v="27"/>
    <b v="1"/>
    <n v="85.2"/>
    <s v="Completed"/>
  </r>
  <r>
    <n v="282"/>
    <s v="Olivia Lewis"/>
    <x v="4"/>
    <s v="Anti-Corruption Policy"/>
    <s v="Compliance"/>
    <d v="2025-06-06T00:00:00"/>
    <m/>
    <n v="38.6"/>
    <b v="0"/>
    <m/>
    <s v="In Progress"/>
  </r>
  <r>
    <n v="283"/>
    <s v="Olivia Lewis"/>
    <x v="4"/>
    <s v="Code of Conduct"/>
    <s v="Compliance"/>
    <d v="2025-06-16T00:00:00"/>
    <m/>
    <n v="22.2"/>
    <b v="0"/>
    <m/>
    <s v="Not Started"/>
  </r>
  <r>
    <n v="284"/>
    <s v="Olivia Lewis"/>
    <x v="4"/>
    <s v="Leadership Essentials"/>
    <s v="Leadership"/>
    <d v="2025-11-28T00:00:00"/>
    <d v="2025-12-22T00:00:00"/>
    <n v="30.8"/>
    <b v="0"/>
    <n v="67.900000000000006"/>
    <s v="Completed"/>
  </r>
  <r>
    <n v="285"/>
    <s v="Olivia Lewis"/>
    <x v="4"/>
    <s v="Change Management"/>
    <s v="Leadership"/>
    <d v="2025-10-10T00:00:00"/>
    <m/>
    <n v="13.8"/>
    <b v="0"/>
    <m/>
    <s v="Not Started"/>
  </r>
  <r>
    <n v="286"/>
    <s v="Olivia Lewis"/>
    <x v="4"/>
    <s v="Code of Conduct"/>
    <s v="Compliance"/>
    <d v="2025-02-19T00:00:00"/>
    <d v="2025-02-27T00:00:00"/>
    <n v="11.1"/>
    <b v="1"/>
    <n v="81.2"/>
    <s v="Completed"/>
  </r>
  <r>
    <n v="287"/>
    <s v="Olivia Lewis"/>
    <x v="4"/>
    <s v="Fire Safety"/>
    <s v="Safety"/>
    <d v="2026-02-02T00:00:00"/>
    <m/>
    <n v="10.3"/>
    <b v="0"/>
    <m/>
    <s v="In Progress"/>
  </r>
  <r>
    <n v="288"/>
    <s v="Olivia Lewis"/>
    <x v="4"/>
    <s v="Health Regulations"/>
    <s v="Compliance"/>
    <d v="2025-06-10T00:00:00"/>
    <d v="2025-07-16T00:00:00"/>
    <n v="13.8"/>
    <b v="1"/>
    <n v="65.099999999999994"/>
    <s v="Completed"/>
  </r>
  <r>
    <n v="289"/>
    <s v="Olivia Lewis"/>
    <x v="4"/>
    <s v="Coaching Skills"/>
    <s v="Leadership"/>
    <d v="2025-09-05T00:00:00"/>
    <d v="2025-10-13T00:00:00"/>
    <n v="21.3"/>
    <b v="1"/>
    <n v="89.9"/>
    <s v="Completed"/>
  </r>
  <r>
    <n v="290"/>
    <s v="Olivia Lewis"/>
    <x v="4"/>
    <s v="Data Privacy GDPR"/>
    <s v="Compliance"/>
    <d v="2026-01-02T00:00:00"/>
    <m/>
    <n v="12.7"/>
    <b v="0"/>
    <m/>
    <s v="Not Started"/>
  </r>
  <r>
    <n v="291"/>
    <s v="Olivia Lewis"/>
    <x v="4"/>
    <s v="Change Management"/>
    <s v="Leadership"/>
    <d v="2025-06-12T00:00:00"/>
    <d v="2025-06-24T00:00:00"/>
    <n v="18.100000000000001"/>
    <b v="0"/>
    <n v="90.1"/>
    <s v="Completed"/>
  </r>
  <r>
    <n v="292"/>
    <s v="Olivia Lewis"/>
    <x v="4"/>
    <s v="Python for Analysts"/>
    <s v="Technical"/>
    <d v="2025-05-22T00:00:00"/>
    <d v="2025-06-03T00:00:00"/>
    <n v="19.8"/>
    <b v="1"/>
    <n v="74.8"/>
    <s v="Completed"/>
  </r>
  <r>
    <n v="293"/>
    <s v="Olivia Lewis"/>
    <x v="4"/>
    <s v="Presentation Skills"/>
    <s v="Soft Skills"/>
    <d v="2025-04-17T00:00:00"/>
    <m/>
    <n v="21.9"/>
    <b v="0"/>
    <n v="55.1"/>
    <s v="Failed"/>
  </r>
  <r>
    <n v="294"/>
    <s v="Olivia Lewis"/>
    <x v="4"/>
    <s v="Code of Conduct"/>
    <s v="Compliance"/>
    <d v="2026-03-26T00:00:00"/>
    <m/>
    <n v="36.700000000000003"/>
    <b v="0"/>
    <m/>
    <s v="Not Started"/>
  </r>
  <r>
    <n v="295"/>
    <s v="Olivia Lewis"/>
    <x v="4"/>
    <s v="Code of Conduct"/>
    <s v="Compliance"/>
    <d v="2025-12-23T00:00:00"/>
    <d v="2026-01-11T00:00:00"/>
    <n v="4.5999999999999996"/>
    <b v="1"/>
    <n v="79.8"/>
    <s v="Completed"/>
  </r>
  <r>
    <n v="296"/>
    <s v="Olivia Lewis"/>
    <x v="4"/>
    <s v="Change Management"/>
    <s v="Leadership"/>
    <d v="2025-07-03T00:00:00"/>
    <m/>
    <n v="34.1"/>
    <b v="0"/>
    <m/>
    <s v="In Progress"/>
  </r>
  <r>
    <n v="297"/>
    <s v="Olivia Lewis"/>
    <x v="4"/>
    <s v="Strategic Thinking"/>
    <s v="Leadership"/>
    <d v="2025-02-18T00:00:00"/>
    <m/>
    <n v="34.5"/>
    <b v="0"/>
    <m/>
    <s v="Not Started"/>
  </r>
  <r>
    <n v="298"/>
    <s v="Olivia Lewis"/>
    <x v="4"/>
    <s v="Presentation Skills"/>
    <s v="Soft Skills"/>
    <d v="2026-03-24T00:00:00"/>
    <m/>
    <n v="15.3"/>
    <b v="0"/>
    <m/>
    <s v="Not Started"/>
  </r>
  <r>
    <n v="299"/>
    <s v="Olivia Lewis"/>
    <x v="4"/>
    <s v="Fire Safety"/>
    <s v="Safety"/>
    <d v="2025-06-30T00:00:00"/>
    <m/>
    <n v="37.799999999999997"/>
    <b v="0"/>
    <m/>
    <s v="In Progress"/>
  </r>
  <r>
    <n v="300"/>
    <s v="Olivia Lewis"/>
    <x v="4"/>
    <s v="Conflict Resolution"/>
    <s v="Soft Skills"/>
    <d v="2025-06-05T00:00:00"/>
    <d v="2025-07-19T00:00:00"/>
    <n v="10.1"/>
    <b v="0"/>
    <n v="62.3"/>
    <s v="Completed"/>
  </r>
  <r>
    <n v="301"/>
    <s v="Olivia Lewis"/>
    <x v="4"/>
    <s v="Coaching Skills"/>
    <s v="Leadership"/>
    <d v="2026-03-04T00:00:00"/>
    <m/>
    <n v="28.5"/>
    <b v="0"/>
    <m/>
    <s v="Not Started"/>
  </r>
  <r>
    <n v="302"/>
    <s v="Olivia Lewis"/>
    <x v="4"/>
    <s v="Coaching Skills"/>
    <s v="Leadership"/>
    <d v="2025-03-28T00:00:00"/>
    <m/>
    <n v="13.5"/>
    <b v="0"/>
    <m/>
    <s v="Not Started"/>
  </r>
  <r>
    <n v="303"/>
    <s v="Peter Robinson"/>
    <x v="0"/>
    <s v="Hazard Identification"/>
    <s v="Safety"/>
    <d v="2025-12-13T00:00:00"/>
    <m/>
    <n v="33.299999999999997"/>
    <b v="0"/>
    <m/>
    <s v="In Progress"/>
  </r>
  <r>
    <n v="304"/>
    <s v="Peter Robinson"/>
    <x v="0"/>
    <s v="Leadership Essentials"/>
    <s v="Leadership"/>
    <d v="2026-03-09T00:00:00"/>
    <m/>
    <n v="13.5"/>
    <b v="0"/>
    <n v="42.5"/>
    <s v="Failed"/>
  </r>
  <r>
    <n v="305"/>
    <s v="Peter Robinson"/>
    <x v="0"/>
    <s v="Anti-Corruption Policy"/>
    <s v="Compliance"/>
    <d v="2025-12-16T00:00:00"/>
    <m/>
    <n v="17.600000000000001"/>
    <b v="0"/>
    <m/>
    <s v="Not Started"/>
  </r>
  <r>
    <n v="306"/>
    <s v="Peter Robinson"/>
    <x v="0"/>
    <s v="Health Regulations"/>
    <s v="Compliance"/>
    <d v="2026-01-14T00:00:00"/>
    <d v="2026-01-27T00:00:00"/>
    <n v="24.6"/>
    <b v="1"/>
    <n v="61.5"/>
    <s v="Completed"/>
  </r>
  <r>
    <n v="307"/>
    <s v="Peter Robinson"/>
    <x v="0"/>
    <s v="Communication Skills"/>
    <s v="Soft Skills"/>
    <d v="2026-02-08T00:00:00"/>
    <m/>
    <n v="7.2"/>
    <b v="0"/>
    <m/>
    <s v="Not Started"/>
  </r>
  <r>
    <n v="308"/>
    <s v="Peter Robinson"/>
    <x v="0"/>
    <s v="Excel Advanced"/>
    <s v="Technical"/>
    <d v="2025-06-02T00:00:00"/>
    <d v="2025-07-06T00:00:00"/>
    <n v="10.8"/>
    <b v="0"/>
    <n v="76.400000000000006"/>
    <s v="Completed"/>
  </r>
  <r>
    <n v="309"/>
    <s v="Peter Robinson"/>
    <x v="0"/>
    <s v="Change Management"/>
    <s v="Leadership"/>
    <d v="2025-11-30T00:00:00"/>
    <m/>
    <n v="28.9"/>
    <b v="0"/>
    <m/>
    <s v="In Progress"/>
  </r>
  <r>
    <n v="310"/>
    <s v="Peter Robinson"/>
    <x v="0"/>
    <s v="SQL Basics"/>
    <s v="Technical"/>
    <d v="2025-03-16T00:00:00"/>
    <d v="2025-04-06T00:00:00"/>
    <n v="37.200000000000003"/>
    <b v="0"/>
    <n v="89.2"/>
    <s v="Completed"/>
  </r>
  <r>
    <n v="311"/>
    <s v="Peter Robinson"/>
    <x v="0"/>
    <s v="SQL Basics"/>
    <s v="Technical"/>
    <d v="2026-03-13T00:00:00"/>
    <d v="2026-03-21T00:00:00"/>
    <n v="11.2"/>
    <b v="0"/>
    <n v="78.599999999999994"/>
    <s v="Completed"/>
  </r>
  <r>
    <n v="312"/>
    <s v="Peter Robinson"/>
    <x v="0"/>
    <s v="Conflict Resolution"/>
    <s v="Soft Skills"/>
    <d v="2025-03-28T00:00:00"/>
    <m/>
    <n v="32.9"/>
    <b v="0"/>
    <n v="37.9"/>
    <s v="Failed"/>
  </r>
  <r>
    <n v="313"/>
    <s v="Peter Robinson"/>
    <x v="0"/>
    <s v="Excel Advanced"/>
    <s v="Technical"/>
    <d v="2025-05-05T00:00:00"/>
    <m/>
    <n v="18.5"/>
    <b v="0"/>
    <n v="54.6"/>
    <s v="Failed"/>
  </r>
  <r>
    <n v="314"/>
    <s v="Peter Robinson"/>
    <x v="0"/>
    <s v="Anti-Corruption Policy"/>
    <s v="Compliance"/>
    <d v="2025-04-26T00:00:00"/>
    <d v="2025-05-02T00:00:00"/>
    <n v="27"/>
    <b v="1"/>
    <n v="68.400000000000006"/>
    <s v="Completed"/>
  </r>
  <r>
    <n v="315"/>
    <s v="Peter Robinson"/>
    <x v="0"/>
    <s v="Presentation Skills"/>
    <s v="Soft Skills"/>
    <d v="2025-10-04T00:00:00"/>
    <m/>
    <n v="12.2"/>
    <b v="0"/>
    <m/>
    <s v="Not Started"/>
  </r>
  <r>
    <n v="316"/>
    <s v="Peter Robinson"/>
    <x v="0"/>
    <s v="Leadership Essentials"/>
    <s v="Leadership"/>
    <d v="2026-01-22T00:00:00"/>
    <d v="2026-03-02T00:00:00"/>
    <n v="26.3"/>
    <b v="1"/>
    <n v="65.099999999999994"/>
    <s v="Completed"/>
  </r>
  <r>
    <n v="317"/>
    <s v="Peter Robinson"/>
    <x v="0"/>
    <s v="SQL Basics"/>
    <s v="Technical"/>
    <d v="2025-03-13T00:00:00"/>
    <m/>
    <n v="19.899999999999999"/>
    <b v="0"/>
    <m/>
    <s v="In Progress"/>
  </r>
  <r>
    <n v="318"/>
    <s v="Peter Robinson"/>
    <x v="0"/>
    <s v="SQL Basics"/>
    <s v="Technical"/>
    <d v="2025-03-26T00:00:00"/>
    <m/>
    <n v="33.5"/>
    <b v="0"/>
    <m/>
    <s v="In Progress"/>
  </r>
  <r>
    <n v="319"/>
    <s v="Peter Robinson"/>
    <x v="0"/>
    <s v="Power BI Fundamentals"/>
    <s v="Technical"/>
    <d v="2025-10-07T00:00:00"/>
    <d v="2025-10-23T00:00:00"/>
    <n v="12.6"/>
    <b v="1"/>
    <n v="80.2"/>
    <s v="Completed"/>
  </r>
  <r>
    <n v="320"/>
    <s v="Peter Robinson"/>
    <x v="0"/>
    <s v="Coaching Skills"/>
    <s v="Leadership"/>
    <d v="2026-01-21T00:00:00"/>
    <m/>
    <n v="36.9"/>
    <b v="0"/>
    <m/>
    <s v="Not Started"/>
  </r>
  <r>
    <n v="321"/>
    <s v="Peter Robinson"/>
    <x v="0"/>
    <s v="Data Privacy GDPR"/>
    <s v="Compliance"/>
    <d v="2025-12-15T00:00:00"/>
    <m/>
    <n v="22.8"/>
    <b v="0"/>
    <m/>
    <s v="In Progress"/>
  </r>
  <r>
    <n v="322"/>
    <s v="Quinn Walker"/>
    <x v="1"/>
    <s v="Excel Advanced"/>
    <s v="Technical"/>
    <d v="2025-12-24T00:00:00"/>
    <m/>
    <n v="37"/>
    <b v="0"/>
    <m/>
    <s v="In Progress"/>
  </r>
  <r>
    <n v="323"/>
    <s v="Quinn Walker"/>
    <x v="1"/>
    <s v="Fire Safety"/>
    <s v="Safety"/>
    <d v="2026-03-19T00:00:00"/>
    <m/>
    <n v="21.1"/>
    <b v="0"/>
    <m/>
    <s v="In Progress"/>
  </r>
  <r>
    <n v="324"/>
    <s v="Quinn Walker"/>
    <x v="1"/>
    <s v="Communication Skills"/>
    <s v="Soft Skills"/>
    <d v="2026-03-20T00:00:00"/>
    <d v="2026-04-02T00:00:00"/>
    <n v="35.5"/>
    <b v="1"/>
    <n v="91.5"/>
    <s v="Completed"/>
  </r>
  <r>
    <n v="325"/>
    <s v="Quinn Walker"/>
    <x v="1"/>
    <s v="Power BI Fundamentals"/>
    <s v="Technical"/>
    <d v="2025-06-22T00:00:00"/>
    <m/>
    <n v="14.8"/>
    <b v="0"/>
    <m/>
    <s v="Not Started"/>
  </r>
  <r>
    <n v="326"/>
    <s v="Quinn Walker"/>
    <x v="1"/>
    <s v="Fire Safety"/>
    <s v="Safety"/>
    <d v="2025-12-13T00:00:00"/>
    <m/>
    <n v="27.7"/>
    <b v="0"/>
    <m/>
    <s v="In Progress"/>
  </r>
  <r>
    <n v="327"/>
    <s v="Quinn Walker"/>
    <x v="1"/>
    <s v="Presentation Skills"/>
    <s v="Soft Skills"/>
    <d v="2026-01-09T00:00:00"/>
    <d v="2026-02-20T00:00:00"/>
    <n v="29.6"/>
    <b v="1"/>
    <n v="79.8"/>
    <s v="Completed"/>
  </r>
  <r>
    <n v="328"/>
    <s v="Quinn Walker"/>
    <x v="1"/>
    <s v="Excel Advanced"/>
    <s v="Technical"/>
    <d v="2025-01-25T00:00:00"/>
    <m/>
    <n v="5.0999999999999996"/>
    <b v="0"/>
    <m/>
    <s v="Not Started"/>
  </r>
  <r>
    <n v="329"/>
    <s v="Quinn Walker"/>
    <x v="1"/>
    <s v="Presentation Skills"/>
    <s v="Soft Skills"/>
    <d v="2025-06-28T00:00:00"/>
    <d v="2025-07-19T00:00:00"/>
    <n v="31"/>
    <b v="1"/>
    <n v="94.7"/>
    <s v="Completed"/>
  </r>
  <r>
    <n v="330"/>
    <s v="Quinn Walker"/>
    <x v="1"/>
    <s v="Fire Safety"/>
    <s v="Safety"/>
    <d v="2025-12-02T00:00:00"/>
    <d v="2026-01-05T00:00:00"/>
    <n v="23.1"/>
    <b v="1"/>
    <n v="69.8"/>
    <s v="Completed"/>
  </r>
  <r>
    <n v="331"/>
    <s v="Quinn Walker"/>
    <x v="1"/>
    <s v="Hazard Identification"/>
    <s v="Safety"/>
    <d v="2025-04-14T00:00:00"/>
    <m/>
    <n v="29.6"/>
    <b v="0"/>
    <n v="51.6"/>
    <s v="Failed"/>
  </r>
  <r>
    <n v="332"/>
    <s v="Quinn Walker"/>
    <x v="1"/>
    <s v="SQL Basics"/>
    <s v="Technical"/>
    <d v="2025-08-28T00:00:00"/>
    <d v="2025-09-06T00:00:00"/>
    <n v="27.1"/>
    <b v="0"/>
    <n v="95.5"/>
    <s v="Completed"/>
  </r>
  <r>
    <n v="333"/>
    <s v="Quinn Walker"/>
    <x v="1"/>
    <s v="Strategic Thinking"/>
    <s v="Leadership"/>
    <d v="2026-01-01T00:00:00"/>
    <m/>
    <n v="9.1"/>
    <b v="0"/>
    <m/>
    <s v="In Progress"/>
  </r>
  <r>
    <n v="334"/>
    <s v="Quinn Walker"/>
    <x v="1"/>
    <s v="Conflict Resolution"/>
    <s v="Soft Skills"/>
    <d v="2026-03-14T00:00:00"/>
    <m/>
    <n v="16"/>
    <b v="0"/>
    <n v="36.1"/>
    <s v="Failed"/>
  </r>
  <r>
    <n v="335"/>
    <s v="Quinn Walker"/>
    <x v="1"/>
    <s v="Fire Safety"/>
    <s v="Safety"/>
    <d v="2025-02-10T00:00:00"/>
    <d v="2025-02-22T00:00:00"/>
    <n v="39.6"/>
    <b v="0"/>
    <n v="65.3"/>
    <s v="Completed"/>
  </r>
  <r>
    <n v="336"/>
    <s v="Quinn Walker"/>
    <x v="1"/>
    <s v="Power BI Fundamentals"/>
    <s v="Technical"/>
    <d v="2026-01-08T00:00:00"/>
    <m/>
    <n v="26.7"/>
    <b v="0"/>
    <m/>
    <s v="Not Started"/>
  </r>
  <r>
    <n v="337"/>
    <s v="Quinn Walker"/>
    <x v="1"/>
    <s v="Change Management"/>
    <s v="Leadership"/>
    <d v="2026-02-01T00:00:00"/>
    <d v="2026-02-18T00:00:00"/>
    <n v="29.7"/>
    <b v="1"/>
    <n v="73.8"/>
    <s v="Completed"/>
  </r>
  <r>
    <n v="338"/>
    <s v="Quinn Walker"/>
    <x v="1"/>
    <s v="Data Privacy GDPR"/>
    <s v="Compliance"/>
    <d v="2025-07-30T00:00:00"/>
    <m/>
    <n v="13.4"/>
    <b v="0"/>
    <m/>
    <s v="Not Started"/>
  </r>
  <r>
    <n v="339"/>
    <s v="Quinn Walker"/>
    <x v="1"/>
    <s v="Excel Advanced"/>
    <s v="Technical"/>
    <d v="2025-03-11T00:00:00"/>
    <m/>
    <n v="15.9"/>
    <b v="0"/>
    <m/>
    <s v="Not Started"/>
  </r>
  <r>
    <n v="340"/>
    <s v="Quinn Walker"/>
    <x v="1"/>
    <s v="Presentation Skills"/>
    <s v="Soft Skills"/>
    <d v="2025-11-05T00:00:00"/>
    <d v="2025-12-05T00:00:00"/>
    <n v="31.5"/>
    <b v="1"/>
    <n v="68.7"/>
    <s v="Completed"/>
  </r>
  <r>
    <n v="341"/>
    <s v="Quinn Walker"/>
    <x v="1"/>
    <s v="Workplace Ergonomics"/>
    <s v="Safety"/>
    <d v="2025-11-07T00:00:00"/>
    <d v="2025-12-08T00:00:00"/>
    <n v="24.5"/>
    <b v="1"/>
    <n v="82.2"/>
    <s v="Completed"/>
  </r>
  <r>
    <n v="342"/>
    <s v="Quinn Walker"/>
    <x v="1"/>
    <s v="Workplace Ergonomics"/>
    <s v="Safety"/>
    <d v="2025-10-07T00:00:00"/>
    <m/>
    <n v="8.9"/>
    <b v="0"/>
    <m/>
    <s v="In Progress"/>
  </r>
  <r>
    <n v="343"/>
    <s v="Quinn Walker"/>
    <x v="1"/>
    <s v="Anti-Corruption Policy"/>
    <s v="Compliance"/>
    <d v="2025-11-09T00:00:00"/>
    <m/>
    <n v="6.7"/>
    <b v="0"/>
    <m/>
    <s v="In Progress"/>
  </r>
  <r>
    <n v="344"/>
    <s v="Rachel Hall"/>
    <x v="2"/>
    <s v="Anti-Corruption Policy"/>
    <s v="Compliance"/>
    <d v="2025-01-24T00:00:00"/>
    <d v="2025-02-14T00:00:00"/>
    <n v="12"/>
    <b v="1"/>
    <n v="89.7"/>
    <s v="Completed"/>
  </r>
  <r>
    <n v="345"/>
    <s v="Rachel Hall"/>
    <x v="2"/>
    <s v="Data Privacy GDPR"/>
    <s v="Compliance"/>
    <d v="2026-01-16T00:00:00"/>
    <d v="2026-02-23T00:00:00"/>
    <n v="31.4"/>
    <b v="1"/>
    <n v="80"/>
    <s v="Completed"/>
  </r>
  <r>
    <n v="346"/>
    <s v="Rachel Hall"/>
    <x v="2"/>
    <s v="Power BI Fundamentals"/>
    <s v="Technical"/>
    <d v="2025-11-21T00:00:00"/>
    <d v="2026-01-02T00:00:00"/>
    <n v="23"/>
    <b v="1"/>
    <n v="89.5"/>
    <s v="Completed"/>
  </r>
  <r>
    <n v="347"/>
    <s v="Rachel Hall"/>
    <x v="2"/>
    <s v="Python for Analysts"/>
    <s v="Technical"/>
    <d v="2025-07-04T00:00:00"/>
    <d v="2025-07-29T00:00:00"/>
    <n v="37.200000000000003"/>
    <b v="1"/>
    <n v="78.7"/>
    <s v="Completed"/>
  </r>
  <r>
    <n v="348"/>
    <s v="Rachel Hall"/>
    <x v="2"/>
    <s v="Hazard Identification"/>
    <s v="Safety"/>
    <d v="2025-08-19T00:00:00"/>
    <d v="2025-09-11T00:00:00"/>
    <n v="11.8"/>
    <b v="0"/>
    <n v="60"/>
    <s v="Completed"/>
  </r>
  <r>
    <n v="349"/>
    <s v="Rachel Hall"/>
    <x v="2"/>
    <s v="Anti-Corruption Policy"/>
    <s v="Compliance"/>
    <d v="2025-06-14T00:00:00"/>
    <m/>
    <n v="5.2"/>
    <b v="0"/>
    <m/>
    <s v="In Progress"/>
  </r>
  <r>
    <n v="350"/>
    <s v="Rachel Hall"/>
    <x v="2"/>
    <s v="Team Collaboration"/>
    <s v="Soft Skills"/>
    <d v="2026-03-15T00:00:00"/>
    <m/>
    <n v="10"/>
    <b v="0"/>
    <n v="39.5"/>
    <s v="Failed"/>
  </r>
  <r>
    <n v="351"/>
    <s v="Rachel Hall"/>
    <x v="2"/>
    <s v="Team Collaboration"/>
    <s v="Soft Skills"/>
    <d v="2025-05-19T00:00:00"/>
    <m/>
    <n v="12.3"/>
    <b v="0"/>
    <m/>
    <s v="Not Started"/>
  </r>
  <r>
    <n v="352"/>
    <s v="Rachel Hall"/>
    <x v="2"/>
    <s v="Presentation Skills"/>
    <s v="Soft Skills"/>
    <d v="2026-03-02T00:00:00"/>
    <m/>
    <n v="34.6"/>
    <b v="0"/>
    <m/>
    <s v="Not Started"/>
  </r>
  <r>
    <n v="353"/>
    <s v="Rachel Hall"/>
    <x v="2"/>
    <s v="Presentation Skills"/>
    <s v="Soft Skills"/>
    <d v="2025-12-30T00:00:00"/>
    <d v="2026-01-12T00:00:00"/>
    <n v="13"/>
    <b v="1"/>
    <n v="83.3"/>
    <s v="Completed"/>
  </r>
  <r>
    <n v="354"/>
    <s v="Rachel Hall"/>
    <x v="2"/>
    <s v="Health Regulations"/>
    <s v="Compliance"/>
    <d v="2025-01-04T00:00:00"/>
    <d v="2025-02-17T00:00:00"/>
    <n v="27"/>
    <b v="1"/>
    <n v="97.3"/>
    <s v="Completed"/>
  </r>
  <r>
    <n v="355"/>
    <s v="Rachel Hall"/>
    <x v="2"/>
    <s v="Communication Skills"/>
    <s v="Soft Skills"/>
    <d v="2025-06-20T00:00:00"/>
    <m/>
    <n v="14.9"/>
    <b v="0"/>
    <m/>
    <s v="Not Started"/>
  </r>
  <r>
    <n v="356"/>
    <s v="Rachel Hall"/>
    <x v="2"/>
    <s v="Workplace Ergonomics"/>
    <s v="Safety"/>
    <d v="2025-04-19T00:00:00"/>
    <m/>
    <n v="36.6"/>
    <b v="0"/>
    <n v="37.799999999999997"/>
    <s v="Failed"/>
  </r>
  <r>
    <n v="357"/>
    <s v="Rachel Hall"/>
    <x v="2"/>
    <s v="Excel Advanced"/>
    <s v="Technical"/>
    <d v="2025-10-14T00:00:00"/>
    <m/>
    <n v="22.2"/>
    <b v="0"/>
    <m/>
    <s v="In Progress"/>
  </r>
  <r>
    <n v="358"/>
    <s v="Rachel Hall"/>
    <x v="2"/>
    <s v="Coaching Skills"/>
    <s v="Leadership"/>
    <d v="2025-07-05T00:00:00"/>
    <m/>
    <n v="16"/>
    <b v="0"/>
    <m/>
    <s v="In Progress"/>
  </r>
  <r>
    <n v="359"/>
    <s v="Rachel Hall"/>
    <x v="2"/>
    <s v="Change Management"/>
    <s v="Leadership"/>
    <d v="2025-08-26T00:00:00"/>
    <d v="2025-09-05T00:00:00"/>
    <n v="34.6"/>
    <b v="1"/>
    <n v="69.099999999999994"/>
    <s v="Completed"/>
  </r>
  <r>
    <n v="360"/>
    <s v="Rachel Hall"/>
    <x v="2"/>
    <s v="SQL Basics"/>
    <s v="Technical"/>
    <d v="2026-03-20T00:00:00"/>
    <d v="2026-04-16T00:00:00"/>
    <n v="15.4"/>
    <b v="0"/>
    <n v="86.2"/>
    <s v="Completed"/>
  </r>
  <r>
    <n v="361"/>
    <s v="Rachel Hall"/>
    <x v="2"/>
    <s v="Workplace Ergonomics"/>
    <s v="Safety"/>
    <d v="2025-11-06T00:00:00"/>
    <d v="2025-11-13T00:00:00"/>
    <n v="24.9"/>
    <b v="0"/>
    <n v="94"/>
    <s v="Completed"/>
  </r>
  <r>
    <n v="362"/>
    <s v="Rachel Hall"/>
    <x v="2"/>
    <s v="Python for Analysts"/>
    <s v="Technical"/>
    <d v="2025-08-22T00:00:00"/>
    <d v="2025-09-20T00:00:00"/>
    <n v="19.899999999999999"/>
    <b v="0"/>
    <n v="92.1"/>
    <s v="Completed"/>
  </r>
  <r>
    <n v="363"/>
    <s v="Rachel Hall"/>
    <x v="2"/>
    <s v="Health Regulations"/>
    <s v="Compliance"/>
    <d v="2025-02-26T00:00:00"/>
    <d v="2025-03-03T00:00:00"/>
    <n v="36.5"/>
    <b v="1"/>
    <n v="66"/>
    <s v="Completed"/>
  </r>
  <r>
    <n v="364"/>
    <s v="Rachel Hall"/>
    <x v="2"/>
    <s v="Fire Safety"/>
    <s v="Safety"/>
    <d v="2025-12-30T00:00:00"/>
    <m/>
    <n v="25.6"/>
    <b v="0"/>
    <m/>
    <s v="In Progress"/>
  </r>
  <r>
    <n v="365"/>
    <s v="Rachel Hall"/>
    <x v="2"/>
    <s v="Hazard Identification"/>
    <s v="Safety"/>
    <d v="2026-01-28T00:00:00"/>
    <d v="2026-02-21T00:00:00"/>
    <n v="21.2"/>
    <b v="1"/>
    <n v="69"/>
    <s v="Completed"/>
  </r>
  <r>
    <n v="366"/>
    <s v="Samuel Young"/>
    <x v="3"/>
    <s v="Python for Analysts"/>
    <s v="Technical"/>
    <d v="2025-06-08T00:00:00"/>
    <d v="2025-07-02T00:00:00"/>
    <n v="19.8"/>
    <b v="1"/>
    <n v="84.4"/>
    <s v="Completed"/>
  </r>
  <r>
    <n v="367"/>
    <s v="Samuel Young"/>
    <x v="3"/>
    <s v="Code of Conduct"/>
    <s v="Compliance"/>
    <d v="2025-12-16T00:00:00"/>
    <m/>
    <n v="7.7"/>
    <b v="0"/>
    <m/>
    <s v="In Progress"/>
  </r>
  <r>
    <n v="368"/>
    <s v="Samuel Young"/>
    <x v="3"/>
    <s v="Hazard Identification"/>
    <s v="Safety"/>
    <d v="2025-08-02T00:00:00"/>
    <d v="2025-08-31T00:00:00"/>
    <n v="5.5"/>
    <b v="0"/>
    <n v="78.2"/>
    <s v="Completed"/>
  </r>
  <r>
    <n v="369"/>
    <s v="Samuel Young"/>
    <x v="3"/>
    <s v="Data Privacy GDPR"/>
    <s v="Compliance"/>
    <d v="2025-07-06T00:00:00"/>
    <m/>
    <n v="37.299999999999997"/>
    <b v="0"/>
    <m/>
    <s v="Not Started"/>
  </r>
  <r>
    <n v="370"/>
    <s v="Samuel Young"/>
    <x v="3"/>
    <s v="Excel Advanced"/>
    <s v="Technical"/>
    <d v="2025-04-01T00:00:00"/>
    <d v="2025-04-30T00:00:00"/>
    <n v="37.299999999999997"/>
    <b v="1"/>
    <n v="60.5"/>
    <s v="Completed"/>
  </r>
  <r>
    <n v="371"/>
    <s v="Samuel Young"/>
    <x v="3"/>
    <s v="Hazard Identification"/>
    <s v="Safety"/>
    <d v="2025-12-10T00:00:00"/>
    <m/>
    <n v="38.9"/>
    <b v="0"/>
    <n v="32.299999999999997"/>
    <s v="Failed"/>
  </r>
  <r>
    <n v="372"/>
    <s v="Samuel Young"/>
    <x v="3"/>
    <s v="Fire Safety"/>
    <s v="Safety"/>
    <d v="2026-01-18T00:00:00"/>
    <m/>
    <n v="19"/>
    <b v="0"/>
    <m/>
    <s v="In Progress"/>
  </r>
  <r>
    <n v="373"/>
    <s v="Samuel Young"/>
    <x v="3"/>
    <s v="Code of Conduct"/>
    <s v="Compliance"/>
    <d v="2025-09-15T00:00:00"/>
    <m/>
    <n v="6.7"/>
    <b v="0"/>
    <m/>
    <s v="In Progress"/>
  </r>
  <r>
    <n v="374"/>
    <s v="Samuel Young"/>
    <x v="3"/>
    <s v="Power BI Fundamentals"/>
    <s v="Technical"/>
    <d v="2025-11-25T00:00:00"/>
    <d v="2025-12-07T00:00:00"/>
    <n v="22.4"/>
    <b v="1"/>
    <n v="98.8"/>
    <s v="Completed"/>
  </r>
  <r>
    <n v="375"/>
    <s v="Samuel Young"/>
    <x v="3"/>
    <s v="Fire Safety"/>
    <s v="Safety"/>
    <d v="2025-11-26T00:00:00"/>
    <d v="2025-12-01T00:00:00"/>
    <n v="11.9"/>
    <b v="1"/>
    <n v="97.7"/>
    <s v="Completed"/>
  </r>
  <r>
    <n v="376"/>
    <s v="Samuel Young"/>
    <x v="3"/>
    <s v="Team Collaboration"/>
    <s v="Soft Skills"/>
    <d v="2025-11-27T00:00:00"/>
    <m/>
    <n v="17.600000000000001"/>
    <b v="0"/>
    <m/>
    <s v="Not Started"/>
  </r>
  <r>
    <n v="377"/>
    <s v="Samuel Young"/>
    <x v="3"/>
    <s v="Communication Skills"/>
    <s v="Soft Skills"/>
    <d v="2026-01-19T00:00:00"/>
    <m/>
    <n v="37.4"/>
    <b v="0"/>
    <m/>
    <s v="In Progress"/>
  </r>
  <r>
    <n v="378"/>
    <s v="Samuel Young"/>
    <x v="3"/>
    <s v="Communication Skills"/>
    <s v="Soft Skills"/>
    <d v="2025-04-27T00:00:00"/>
    <m/>
    <n v="9.4"/>
    <b v="0"/>
    <n v="49.6"/>
    <s v="Failed"/>
  </r>
  <r>
    <n v="379"/>
    <s v="Samuel Young"/>
    <x v="3"/>
    <s v="Health Regulations"/>
    <s v="Compliance"/>
    <d v="2025-06-02T00:00:00"/>
    <d v="2025-06-19T00:00:00"/>
    <n v="31.1"/>
    <b v="1"/>
    <n v="73.400000000000006"/>
    <s v="Completed"/>
  </r>
  <r>
    <n v="380"/>
    <s v="Samuel Young"/>
    <x v="3"/>
    <s v="Python for Analysts"/>
    <s v="Technical"/>
    <d v="2026-01-16T00:00:00"/>
    <m/>
    <n v="20.100000000000001"/>
    <b v="0"/>
    <m/>
    <s v="Not Started"/>
  </r>
  <r>
    <n v="381"/>
    <s v="Samuel Young"/>
    <x v="3"/>
    <s v="Strategic Thinking"/>
    <s v="Leadership"/>
    <d v="2026-03-05T00:00:00"/>
    <d v="2026-03-20T00:00:00"/>
    <n v="35.9"/>
    <b v="1"/>
    <n v="65.7"/>
    <s v="Completed"/>
  </r>
  <r>
    <n v="382"/>
    <s v="Samuel Young"/>
    <x v="3"/>
    <s v="Anti-Corruption Policy"/>
    <s v="Compliance"/>
    <d v="2025-03-10T00:00:00"/>
    <d v="2025-03-22T00:00:00"/>
    <n v="14.3"/>
    <b v="0"/>
    <n v="77.599999999999994"/>
    <s v="Completed"/>
  </r>
  <r>
    <n v="383"/>
    <s v="Samuel Young"/>
    <x v="3"/>
    <s v="Code of Conduct"/>
    <s v="Compliance"/>
    <d v="2025-07-06T00:00:00"/>
    <d v="2025-08-01T00:00:00"/>
    <n v="5.2"/>
    <b v="1"/>
    <n v="74.900000000000006"/>
    <s v="Completed"/>
  </r>
  <r>
    <n v="384"/>
    <s v="Samuel Young"/>
    <x v="3"/>
    <s v="Change Management"/>
    <s v="Leadership"/>
    <d v="2025-10-21T00:00:00"/>
    <d v="2025-11-25T00:00:00"/>
    <n v="12.9"/>
    <b v="1"/>
    <n v="75.8"/>
    <s v="Completed"/>
  </r>
  <r>
    <n v="385"/>
    <s v="Samuel Young"/>
    <x v="3"/>
    <s v="SQL Basics"/>
    <s v="Technical"/>
    <d v="2025-12-31T00:00:00"/>
    <d v="2026-01-05T00:00:00"/>
    <n v="25.4"/>
    <b v="0"/>
    <n v="80.599999999999994"/>
    <s v="Completed"/>
  </r>
  <r>
    <n v="386"/>
    <s v="Samuel Young"/>
    <x v="3"/>
    <s v="Presentation Skills"/>
    <s v="Soft Skills"/>
    <d v="2025-06-05T00:00:00"/>
    <d v="2025-07-14T00:00:00"/>
    <n v="32.200000000000003"/>
    <b v="1"/>
    <n v="60.9"/>
    <s v="Completed"/>
  </r>
  <r>
    <n v="387"/>
    <s v="Samuel Young"/>
    <x v="3"/>
    <s v="Strategic Thinking"/>
    <s v="Leadership"/>
    <d v="2025-09-28T00:00:00"/>
    <d v="2025-10-12T00:00:00"/>
    <n v="32.4"/>
    <b v="1"/>
    <n v="97.2"/>
    <s v="Completed"/>
  </r>
  <r>
    <n v="388"/>
    <s v="Tina King"/>
    <x v="4"/>
    <s v="Hazard Identification"/>
    <s v="Safety"/>
    <d v="2025-11-28T00:00:00"/>
    <d v="2025-12-04T00:00:00"/>
    <n v="23.7"/>
    <b v="0"/>
    <n v="73.5"/>
    <s v="Completed"/>
  </r>
  <r>
    <n v="389"/>
    <s v="Tina King"/>
    <x v="4"/>
    <s v="SQL Basics"/>
    <s v="Technical"/>
    <d v="2025-03-27T00:00:00"/>
    <d v="2025-04-01T00:00:00"/>
    <n v="34.299999999999997"/>
    <b v="1"/>
    <n v="79.2"/>
    <s v="Completed"/>
  </r>
  <r>
    <n v="390"/>
    <s v="Tina King"/>
    <x v="4"/>
    <s v="SQL Basics"/>
    <s v="Technical"/>
    <d v="2025-05-11T00:00:00"/>
    <d v="2025-06-03T00:00:00"/>
    <n v="5.9"/>
    <b v="1"/>
    <n v="70.599999999999994"/>
    <s v="Completed"/>
  </r>
  <r>
    <n v="391"/>
    <s v="Tina King"/>
    <x v="4"/>
    <s v="Code of Conduct"/>
    <s v="Compliance"/>
    <d v="2025-01-21T00:00:00"/>
    <d v="2025-01-29T00:00:00"/>
    <n v="37.5"/>
    <b v="1"/>
    <n v="98.8"/>
    <s v="Completed"/>
  </r>
  <r>
    <n v="392"/>
    <s v="Tina King"/>
    <x v="4"/>
    <s v="Workplace Ergonomics"/>
    <s v="Safety"/>
    <d v="2026-02-01T00:00:00"/>
    <m/>
    <n v="20.100000000000001"/>
    <b v="0"/>
    <m/>
    <s v="Not Started"/>
  </r>
  <r>
    <n v="393"/>
    <s v="Tina King"/>
    <x v="4"/>
    <s v="Excel Advanced"/>
    <s v="Technical"/>
    <d v="2025-07-06T00:00:00"/>
    <d v="2025-08-14T00:00:00"/>
    <n v="23.1"/>
    <b v="1"/>
    <n v="67.5"/>
    <s v="Completed"/>
  </r>
  <r>
    <n v="394"/>
    <s v="Tina King"/>
    <x v="4"/>
    <s v="Anti-Corruption Policy"/>
    <s v="Compliance"/>
    <d v="2025-03-31T00:00:00"/>
    <d v="2025-04-06T00:00:00"/>
    <n v="11.2"/>
    <b v="1"/>
    <n v="67.3"/>
    <s v="Completed"/>
  </r>
  <r>
    <n v="395"/>
    <s v="Tina King"/>
    <x v="4"/>
    <s v="Coaching Skills"/>
    <s v="Leadership"/>
    <d v="2025-06-17T00:00:00"/>
    <d v="2025-07-02T00:00:00"/>
    <n v="16.600000000000001"/>
    <b v="1"/>
    <n v="78.7"/>
    <s v="Completed"/>
  </r>
  <r>
    <n v="396"/>
    <s v="Tina King"/>
    <x v="4"/>
    <s v="Anti-Corruption Policy"/>
    <s v="Compliance"/>
    <d v="2025-02-15T00:00:00"/>
    <m/>
    <n v="11.7"/>
    <b v="0"/>
    <m/>
    <s v="In Progress"/>
  </r>
  <r>
    <n v="397"/>
    <s v="Tina King"/>
    <x v="4"/>
    <s v="SQL Basics"/>
    <s v="Technical"/>
    <d v="2025-07-13T00:00:00"/>
    <d v="2025-07-31T00:00:00"/>
    <n v="21.8"/>
    <b v="0"/>
    <n v="69.5"/>
    <s v="Completed"/>
  </r>
  <r>
    <n v="398"/>
    <s v="Tina King"/>
    <x v="4"/>
    <s v="Code of Conduct"/>
    <s v="Compliance"/>
    <d v="2025-06-04T00:00:00"/>
    <m/>
    <n v="37.700000000000003"/>
    <b v="0"/>
    <m/>
    <s v="Not Started"/>
  </r>
  <r>
    <n v="399"/>
    <s v="Tina King"/>
    <x v="4"/>
    <s v="Team Collaboration"/>
    <s v="Soft Skills"/>
    <d v="2025-03-09T00:00:00"/>
    <m/>
    <n v="39.700000000000003"/>
    <b v="0"/>
    <m/>
    <s v="In Progress"/>
  </r>
  <r>
    <n v="400"/>
    <s v="Tina King"/>
    <x v="4"/>
    <s v="Change Management"/>
    <s v="Leadership"/>
    <d v="2025-08-26T00:00:00"/>
    <d v="2025-09-06T00:00:00"/>
    <n v="23.2"/>
    <b v="0"/>
    <n v="84.5"/>
    <s v="Completed"/>
  </r>
  <r>
    <n v="401"/>
    <s v="Tina King"/>
    <x v="4"/>
    <s v="Communication Skills"/>
    <s v="Soft Skills"/>
    <d v="2025-02-03T00:00:00"/>
    <d v="2025-03-17T00:00:00"/>
    <n v="5.4"/>
    <b v="0"/>
    <n v="69.599999999999994"/>
    <s v="Completed"/>
  </r>
  <r>
    <n v="402"/>
    <s v="Tina King"/>
    <x v="4"/>
    <s v="Conflict Resolution"/>
    <s v="Soft Skills"/>
    <d v="2026-01-07T00:00:00"/>
    <d v="2026-01-13T00:00:00"/>
    <n v="10.9"/>
    <b v="1"/>
    <n v="75.400000000000006"/>
    <s v="Completed"/>
  </r>
  <r>
    <n v="403"/>
    <s v="Tina King"/>
    <x v="4"/>
    <s v="Workplace Ergonomics"/>
    <s v="Safety"/>
    <d v="2025-06-03T00:00:00"/>
    <d v="2025-06-21T00:00:00"/>
    <n v="4.9000000000000004"/>
    <b v="0"/>
    <n v="90.3"/>
    <s v="Completed"/>
  </r>
  <r>
    <n v="404"/>
    <s v="Tina King"/>
    <x v="4"/>
    <s v="Strategic Thinking"/>
    <s v="Leadership"/>
    <d v="2025-06-08T00:00:00"/>
    <d v="2025-07-20T00:00:00"/>
    <n v="23.1"/>
    <b v="1"/>
    <n v="91"/>
    <s v="Completed"/>
  </r>
  <r>
    <n v="405"/>
    <s v="Tina King"/>
    <x v="4"/>
    <s v="SQL Basics"/>
    <s v="Technical"/>
    <d v="2025-11-27T00:00:00"/>
    <m/>
    <n v="19.600000000000001"/>
    <b v="0"/>
    <m/>
    <s v="Not Started"/>
  </r>
  <r>
    <n v="406"/>
    <s v="Tina King"/>
    <x v="4"/>
    <s v="SQL Basics"/>
    <s v="Technical"/>
    <d v="2025-11-18T00:00:00"/>
    <d v="2025-12-25T00:00:00"/>
    <n v="37.5"/>
    <b v="0"/>
    <n v="99.8"/>
    <s v="Completed"/>
  </r>
  <r>
    <n v="407"/>
    <s v="Tina King"/>
    <x v="4"/>
    <s v="Strategic Thinking"/>
    <s v="Leadership"/>
    <d v="2025-01-17T00:00:00"/>
    <m/>
    <n v="5.2"/>
    <b v="0"/>
    <m/>
    <s v="In Progress"/>
  </r>
  <r>
    <n v="408"/>
    <s v="Tina King"/>
    <x v="4"/>
    <s v="Health Regulations"/>
    <s v="Compliance"/>
    <d v="2025-11-29T00:00:00"/>
    <m/>
    <n v="34.799999999999997"/>
    <b v="0"/>
    <m/>
    <s v="In Progress"/>
  </r>
  <r>
    <n v="409"/>
    <s v="Tina King"/>
    <x v="4"/>
    <s v="Communication Skills"/>
    <s v="Soft Skills"/>
    <d v="2025-12-05T00:00:00"/>
    <d v="2025-12-21T00:00:00"/>
    <n v="5.5"/>
    <b v="1"/>
    <n v="70.599999999999994"/>
    <s v="Completed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9">
  <r>
    <n v="1"/>
    <s v="Alice Johnson"/>
    <s v="Finance"/>
    <s v="Code of Conduct"/>
    <x v="0"/>
    <d v="2025-07-17T00:00:00"/>
    <m/>
    <n v="7.4"/>
    <b v="0"/>
    <m/>
    <s v="In Progress"/>
  </r>
  <r>
    <n v="2"/>
    <s v="Alice Johnson"/>
    <s v="Finance"/>
    <s v="First Aid"/>
    <x v="1"/>
    <d v="2026-03-16T00:00:00"/>
    <m/>
    <n v="8.6"/>
    <b v="0"/>
    <m/>
    <s v="Not Started"/>
  </r>
  <r>
    <n v="3"/>
    <s v="Alice Johnson"/>
    <s v="Finance"/>
    <s v="Health Regulations"/>
    <x v="0"/>
    <d v="2025-07-22T00:00:00"/>
    <m/>
    <n v="27.2"/>
    <b v="0"/>
    <n v="42.9"/>
    <s v="Failed"/>
  </r>
  <r>
    <n v="4"/>
    <s v="Alice Johnson"/>
    <s v="Finance"/>
    <s v="Conflict Resolution"/>
    <x v="2"/>
    <d v="2025-04-13T00:00:00"/>
    <d v="2025-04-21T00:00:00"/>
    <n v="33.799999999999997"/>
    <b v="1"/>
    <n v="90.3"/>
    <s v="Completed"/>
  </r>
  <r>
    <n v="5"/>
    <s v="Alice Johnson"/>
    <s v="Finance"/>
    <s v="Coaching Skills"/>
    <x v="3"/>
    <d v="2025-06-09T00:00:00"/>
    <m/>
    <n v="32"/>
    <b v="0"/>
    <m/>
    <s v="Not Started"/>
  </r>
  <r>
    <n v="6"/>
    <s v="Alice Johnson"/>
    <s v="Finance"/>
    <s v="Hazard Identification"/>
    <x v="1"/>
    <d v="2025-03-29T00:00:00"/>
    <d v="2025-04-17T00:00:00"/>
    <n v="9.6"/>
    <b v="1"/>
    <n v="89.8"/>
    <s v="Completed"/>
  </r>
  <r>
    <n v="7"/>
    <s v="Alice Johnson"/>
    <s v="Finance"/>
    <s v="Change Management"/>
    <x v="3"/>
    <d v="2026-03-12T00:00:00"/>
    <d v="2026-04-02T00:00:00"/>
    <n v="20.9"/>
    <b v="0"/>
    <n v="65.2"/>
    <s v="Completed"/>
  </r>
  <r>
    <n v="8"/>
    <s v="Alice Johnson"/>
    <s v="Finance"/>
    <s v="Team Collaboration"/>
    <x v="2"/>
    <d v="2025-08-03T00:00:00"/>
    <m/>
    <n v="19.7"/>
    <b v="0"/>
    <m/>
    <s v="In Progress"/>
  </r>
  <r>
    <n v="9"/>
    <s v="Alice Johnson"/>
    <s v="Finance"/>
    <s v="Communication Skills"/>
    <x v="2"/>
    <d v="2026-01-10T00:00:00"/>
    <d v="2026-02-09T00:00:00"/>
    <n v="34"/>
    <b v="1"/>
    <n v="75.5"/>
    <s v="Completed"/>
  </r>
  <r>
    <n v="10"/>
    <s v="Alice Johnson"/>
    <s v="Finance"/>
    <s v="Health Regulations"/>
    <x v="0"/>
    <d v="2025-05-10T00:00:00"/>
    <d v="2025-05-24T00:00:00"/>
    <n v="11.2"/>
    <b v="0"/>
    <n v="91.5"/>
    <s v="Completed"/>
  </r>
  <r>
    <n v="11"/>
    <s v="Alice Johnson"/>
    <s v="Finance"/>
    <s v="Health Regulations"/>
    <x v="0"/>
    <d v="2025-10-27T00:00:00"/>
    <m/>
    <n v="20.5"/>
    <b v="0"/>
    <m/>
    <s v="Not Started"/>
  </r>
  <r>
    <n v="12"/>
    <s v="Alice Johnson"/>
    <s v="Finance"/>
    <s v="Code of Conduct"/>
    <x v="0"/>
    <d v="2025-09-13T00:00:00"/>
    <d v="2025-09-19T00:00:00"/>
    <n v="28.1"/>
    <b v="1"/>
    <n v="82.6"/>
    <s v="Completed"/>
  </r>
  <r>
    <n v="13"/>
    <s v="Alice Johnson"/>
    <s v="Finance"/>
    <s v="Python for Analysts"/>
    <x v="4"/>
    <d v="2025-12-11T00:00:00"/>
    <m/>
    <n v="24.1"/>
    <b v="0"/>
    <m/>
    <s v="In Progress"/>
  </r>
  <r>
    <n v="14"/>
    <s v="Alice Johnson"/>
    <s v="Finance"/>
    <s v="Health Regulations"/>
    <x v="0"/>
    <d v="2025-05-17T00:00:00"/>
    <d v="2025-06-15T00:00:00"/>
    <n v="11.7"/>
    <b v="1"/>
    <n v="94.1"/>
    <s v="Completed"/>
  </r>
  <r>
    <n v="15"/>
    <s v="Alice Johnson"/>
    <s v="Finance"/>
    <s v="Python for Analysts"/>
    <x v="4"/>
    <d v="2025-04-16T00:00:00"/>
    <d v="2025-05-23T00:00:00"/>
    <n v="14.6"/>
    <b v="1"/>
    <n v="82.3"/>
    <s v="Completed"/>
  </r>
  <r>
    <n v="16"/>
    <s v="Alice Johnson"/>
    <s v="Finance"/>
    <s v="Power BI Fundamentals"/>
    <x v="4"/>
    <d v="2025-12-19T00:00:00"/>
    <d v="2026-02-01T00:00:00"/>
    <n v="33.299999999999997"/>
    <b v="0"/>
    <n v="60.9"/>
    <s v="Completed"/>
  </r>
  <r>
    <n v="17"/>
    <s v="Alice Johnson"/>
    <s v="Finance"/>
    <s v="Data Privacy GDPR"/>
    <x v="0"/>
    <d v="2025-02-10T00:00:00"/>
    <d v="2025-03-17T00:00:00"/>
    <n v="9.8000000000000007"/>
    <b v="1"/>
    <n v="66.099999999999994"/>
    <s v="Completed"/>
  </r>
  <r>
    <n v="18"/>
    <s v="Alice Johnson"/>
    <s v="Finance"/>
    <s v="Anti-Corruption Policy"/>
    <x v="0"/>
    <d v="2025-11-10T00:00:00"/>
    <d v="2025-12-04T00:00:00"/>
    <n v="14.9"/>
    <b v="1"/>
    <n v="74.5"/>
    <s v="Completed"/>
  </r>
  <r>
    <n v="19"/>
    <s v="Bob Martinez"/>
    <s v="HR"/>
    <s v="Fire Safety"/>
    <x v="1"/>
    <d v="2025-06-04T00:00:00"/>
    <m/>
    <n v="36.700000000000003"/>
    <b v="0"/>
    <n v="37.700000000000003"/>
    <s v="Failed"/>
  </r>
  <r>
    <n v="20"/>
    <s v="Bob Martinez"/>
    <s v="HR"/>
    <s v="Health Regulations"/>
    <x v="0"/>
    <d v="2025-04-29T00:00:00"/>
    <m/>
    <n v="20.2"/>
    <b v="0"/>
    <m/>
    <s v="In Progress"/>
  </r>
  <r>
    <n v="21"/>
    <s v="Bob Martinez"/>
    <s v="HR"/>
    <s v="Anti-Corruption Policy"/>
    <x v="0"/>
    <d v="2025-02-05T00:00:00"/>
    <m/>
    <n v="20.399999999999999"/>
    <b v="0"/>
    <n v="38.9"/>
    <s v="Failed"/>
  </r>
  <r>
    <n v="22"/>
    <s v="Bob Martinez"/>
    <s v="HR"/>
    <s v="First Aid"/>
    <x v="1"/>
    <d v="2025-09-04T00:00:00"/>
    <m/>
    <n v="31.3"/>
    <b v="0"/>
    <m/>
    <s v="Not Started"/>
  </r>
  <r>
    <n v="23"/>
    <s v="Bob Martinez"/>
    <s v="HR"/>
    <s v="Coaching Skills"/>
    <x v="3"/>
    <d v="2025-10-26T00:00:00"/>
    <m/>
    <n v="25"/>
    <b v="0"/>
    <m/>
    <s v="In Progress"/>
  </r>
  <r>
    <n v="24"/>
    <s v="Bob Martinez"/>
    <s v="HR"/>
    <s v="Power BI Fundamentals"/>
    <x v="4"/>
    <d v="2025-10-10T00:00:00"/>
    <d v="2025-10-18T00:00:00"/>
    <n v="5.5"/>
    <b v="1"/>
    <n v="73.2"/>
    <s v="Completed"/>
  </r>
  <r>
    <n v="25"/>
    <s v="Bob Martinez"/>
    <s v="HR"/>
    <s v="Data Privacy GDPR"/>
    <x v="0"/>
    <d v="2025-11-01T00:00:00"/>
    <m/>
    <n v="10.1"/>
    <b v="0"/>
    <m/>
    <s v="In Progress"/>
  </r>
  <r>
    <n v="26"/>
    <s v="Bob Martinez"/>
    <s v="HR"/>
    <s v="Presentation Skills"/>
    <x v="2"/>
    <d v="2026-03-22T00:00:00"/>
    <d v="2026-04-19T00:00:00"/>
    <n v="25.3"/>
    <b v="0"/>
    <n v="98.3"/>
    <s v="Completed"/>
  </r>
  <r>
    <n v="27"/>
    <s v="Bob Martinez"/>
    <s v="HR"/>
    <s v="Change Management"/>
    <x v="3"/>
    <d v="2025-07-30T00:00:00"/>
    <d v="2025-09-04T00:00:00"/>
    <n v="21.5"/>
    <b v="1"/>
    <n v="97.5"/>
    <s v="Completed"/>
  </r>
  <r>
    <n v="28"/>
    <s v="Bob Martinez"/>
    <s v="HR"/>
    <s v="Power BI Fundamentals"/>
    <x v="4"/>
    <d v="2025-09-02T00:00:00"/>
    <d v="2025-09-25T00:00:00"/>
    <n v="15.9"/>
    <b v="1"/>
    <n v="77.599999999999994"/>
    <s v="Completed"/>
  </r>
  <r>
    <n v="29"/>
    <s v="Bob Martinez"/>
    <s v="HR"/>
    <s v="Communication Skills"/>
    <x v="2"/>
    <d v="2025-06-13T00:00:00"/>
    <m/>
    <n v="9"/>
    <b v="0"/>
    <m/>
    <s v="Not Started"/>
  </r>
  <r>
    <n v="30"/>
    <s v="Bob Martinez"/>
    <s v="HR"/>
    <s v="Team Collaboration"/>
    <x v="2"/>
    <d v="2025-05-23T00:00:00"/>
    <m/>
    <n v="14.1"/>
    <b v="0"/>
    <m/>
    <s v="In Progress"/>
  </r>
  <r>
    <n v="31"/>
    <s v="Bob Martinez"/>
    <s v="HR"/>
    <s v="Team Collaboration"/>
    <x v="2"/>
    <d v="2025-11-25T00:00:00"/>
    <m/>
    <n v="7.9"/>
    <b v="0"/>
    <m/>
    <s v="Not Started"/>
  </r>
  <r>
    <n v="32"/>
    <s v="Bob Martinez"/>
    <s v="HR"/>
    <s v="Health Regulations"/>
    <x v="0"/>
    <d v="2026-03-15T00:00:00"/>
    <d v="2026-03-29T00:00:00"/>
    <n v="24"/>
    <b v="1"/>
    <n v="93.2"/>
    <s v="Completed"/>
  </r>
  <r>
    <n v="33"/>
    <s v="Bob Martinez"/>
    <s v="HR"/>
    <s v="Strategic Thinking"/>
    <x v="3"/>
    <d v="2026-03-10T00:00:00"/>
    <m/>
    <n v="14.5"/>
    <b v="0"/>
    <n v="37.4"/>
    <s v="Failed"/>
  </r>
  <r>
    <n v="34"/>
    <s v="Bob Martinez"/>
    <s v="HR"/>
    <s v="Hazard Identification"/>
    <x v="1"/>
    <d v="2025-03-23T00:00:00"/>
    <d v="2025-04-03T00:00:00"/>
    <n v="19.7"/>
    <b v="1"/>
    <n v="95.7"/>
    <s v="Completed"/>
  </r>
  <r>
    <n v="35"/>
    <s v="Bob Martinez"/>
    <s v="HR"/>
    <s v="Power BI Fundamentals"/>
    <x v="4"/>
    <d v="2026-01-16T00:00:00"/>
    <m/>
    <n v="22.7"/>
    <b v="0"/>
    <m/>
    <s v="Not Started"/>
  </r>
  <r>
    <n v="36"/>
    <s v="Bob Martinez"/>
    <s v="HR"/>
    <s v="Change Management"/>
    <x v="3"/>
    <d v="2025-01-10T00:00:00"/>
    <m/>
    <n v="17.5"/>
    <b v="0"/>
    <m/>
    <s v="In Progress"/>
  </r>
  <r>
    <n v="37"/>
    <s v="Bob Martinez"/>
    <s v="HR"/>
    <s v="Fire Safety"/>
    <x v="1"/>
    <d v="2025-11-28T00:00:00"/>
    <d v="2026-01-01T00:00:00"/>
    <n v="37.700000000000003"/>
    <b v="0"/>
    <n v="64.900000000000006"/>
    <s v="Completed"/>
  </r>
  <r>
    <n v="38"/>
    <s v="Bob Martinez"/>
    <s v="HR"/>
    <s v="SQL Basics"/>
    <x v="4"/>
    <d v="2026-02-06T00:00:00"/>
    <d v="2026-02-17T00:00:00"/>
    <n v="25.6"/>
    <b v="1"/>
    <n v="67.900000000000006"/>
    <s v="Completed"/>
  </r>
  <r>
    <n v="39"/>
    <s v="Carol White"/>
    <s v="IT"/>
    <s v="Presentation Skills"/>
    <x v="2"/>
    <d v="2025-12-16T00:00:00"/>
    <d v="2026-01-02T00:00:00"/>
    <n v="9.1999999999999993"/>
    <b v="0"/>
    <n v="69.2"/>
    <s v="Completed"/>
  </r>
  <r>
    <n v="40"/>
    <s v="Carol White"/>
    <s v="IT"/>
    <s v="Workplace Ergonomics"/>
    <x v="1"/>
    <d v="2025-03-01T00:00:00"/>
    <d v="2025-03-06T00:00:00"/>
    <n v="22.2"/>
    <b v="1"/>
    <n v="83.2"/>
    <s v="Completed"/>
  </r>
  <r>
    <n v="41"/>
    <s v="Carol White"/>
    <s v="IT"/>
    <s v="Anti-Corruption Policy"/>
    <x v="0"/>
    <d v="2025-03-31T00:00:00"/>
    <m/>
    <n v="30.6"/>
    <b v="0"/>
    <m/>
    <s v="In Progress"/>
  </r>
  <r>
    <n v="42"/>
    <s v="Carol White"/>
    <s v="IT"/>
    <s v="Hazard Identification"/>
    <x v="1"/>
    <d v="2025-02-28T00:00:00"/>
    <m/>
    <n v="18.3"/>
    <b v="0"/>
    <n v="44.2"/>
    <s v="Failed"/>
  </r>
  <r>
    <n v="43"/>
    <s v="Carol White"/>
    <s v="IT"/>
    <s v="Power BI Fundamentals"/>
    <x v="4"/>
    <d v="2025-10-26T00:00:00"/>
    <d v="2025-11-12T00:00:00"/>
    <n v="37.299999999999997"/>
    <b v="0"/>
    <n v="82.2"/>
    <s v="Completed"/>
  </r>
  <r>
    <n v="44"/>
    <s v="Carol White"/>
    <s v="IT"/>
    <s v="Fire Safety"/>
    <x v="1"/>
    <d v="2025-10-13T00:00:00"/>
    <d v="2025-11-20T00:00:00"/>
    <n v="19.100000000000001"/>
    <b v="1"/>
    <n v="83.8"/>
    <s v="Completed"/>
  </r>
  <r>
    <n v="45"/>
    <s v="Carol White"/>
    <s v="IT"/>
    <s v="Python for Analysts"/>
    <x v="4"/>
    <d v="2026-02-24T00:00:00"/>
    <d v="2026-03-30T00:00:00"/>
    <n v="32.299999999999997"/>
    <b v="0"/>
    <n v="64.400000000000006"/>
    <s v="Completed"/>
  </r>
  <r>
    <n v="46"/>
    <s v="Carol White"/>
    <s v="IT"/>
    <s v="Workplace Ergonomics"/>
    <x v="1"/>
    <d v="2026-01-09T00:00:00"/>
    <d v="2026-01-24T00:00:00"/>
    <n v="23.1"/>
    <b v="1"/>
    <n v="94.7"/>
    <s v="Completed"/>
  </r>
  <r>
    <n v="47"/>
    <s v="Carol White"/>
    <s v="IT"/>
    <s v="Health Regulations"/>
    <x v="0"/>
    <d v="2025-09-29T00:00:00"/>
    <d v="2025-10-15T00:00:00"/>
    <n v="19.3"/>
    <b v="1"/>
    <n v="94.7"/>
    <s v="Completed"/>
  </r>
  <r>
    <n v="48"/>
    <s v="Carol White"/>
    <s v="IT"/>
    <s v="Change Management"/>
    <x v="3"/>
    <d v="2025-07-24T00:00:00"/>
    <d v="2025-08-19T00:00:00"/>
    <n v="30.9"/>
    <b v="1"/>
    <n v="64.2"/>
    <s v="Completed"/>
  </r>
  <r>
    <n v="49"/>
    <s v="Carol White"/>
    <s v="IT"/>
    <s v="Presentation Skills"/>
    <x v="2"/>
    <d v="2025-01-30T00:00:00"/>
    <d v="2025-02-23T00:00:00"/>
    <n v="33.700000000000003"/>
    <b v="1"/>
    <n v="65.8"/>
    <s v="Completed"/>
  </r>
  <r>
    <n v="50"/>
    <s v="Carol White"/>
    <s v="IT"/>
    <s v="Strategic Thinking"/>
    <x v="3"/>
    <d v="2026-02-19T00:00:00"/>
    <d v="2026-03-19T00:00:00"/>
    <n v="9.5"/>
    <b v="0"/>
    <n v="60.8"/>
    <s v="Completed"/>
  </r>
  <r>
    <n v="51"/>
    <s v="Carol White"/>
    <s v="IT"/>
    <s v="Power BI Fundamentals"/>
    <x v="4"/>
    <d v="2025-01-25T00:00:00"/>
    <d v="2025-02-06T00:00:00"/>
    <n v="25.3"/>
    <b v="1"/>
    <n v="75.7"/>
    <s v="Completed"/>
  </r>
  <r>
    <n v="52"/>
    <s v="Carol White"/>
    <s v="IT"/>
    <s v="SQL Basics"/>
    <x v="4"/>
    <d v="2025-05-24T00:00:00"/>
    <m/>
    <n v="34.6"/>
    <b v="0"/>
    <m/>
    <s v="Not Started"/>
  </r>
  <r>
    <n v="53"/>
    <s v="Carol White"/>
    <s v="IT"/>
    <s v="Coaching Skills"/>
    <x v="3"/>
    <d v="2025-01-20T00:00:00"/>
    <d v="2025-02-13T00:00:00"/>
    <n v="13"/>
    <b v="1"/>
    <n v="76.7"/>
    <s v="Completed"/>
  </r>
  <r>
    <n v="54"/>
    <s v="Carol White"/>
    <s v="IT"/>
    <s v="Excel Advanced"/>
    <x v="4"/>
    <d v="2025-01-23T00:00:00"/>
    <d v="2025-01-28T00:00:00"/>
    <n v="7.7"/>
    <b v="1"/>
    <n v="62.1"/>
    <s v="Completed"/>
  </r>
  <r>
    <n v="55"/>
    <s v="Carol White"/>
    <s v="IT"/>
    <s v="Conflict Resolution"/>
    <x v="2"/>
    <d v="2026-02-21T00:00:00"/>
    <m/>
    <n v="36.5"/>
    <b v="0"/>
    <m/>
    <s v="Not Started"/>
  </r>
  <r>
    <n v="56"/>
    <s v="Carol White"/>
    <s v="IT"/>
    <s v="Python for Analysts"/>
    <x v="4"/>
    <d v="2026-03-17T00:00:00"/>
    <m/>
    <n v="27.1"/>
    <b v="0"/>
    <m/>
    <s v="Not Started"/>
  </r>
  <r>
    <n v="57"/>
    <s v="Carol White"/>
    <s v="IT"/>
    <s v="First Aid"/>
    <x v="1"/>
    <d v="2025-12-17T00:00:00"/>
    <d v="2026-01-20T00:00:00"/>
    <n v="22.5"/>
    <b v="1"/>
    <n v="78.5"/>
    <s v="Completed"/>
  </r>
  <r>
    <n v="58"/>
    <s v="David Lee"/>
    <s v="Operations"/>
    <s v="Anti-Corruption Policy"/>
    <x v="0"/>
    <d v="2025-11-05T00:00:00"/>
    <d v="2025-12-05T00:00:00"/>
    <n v="9"/>
    <b v="1"/>
    <n v="76.7"/>
    <s v="Completed"/>
  </r>
  <r>
    <n v="59"/>
    <s v="David Lee"/>
    <s v="Operations"/>
    <s v="Data Privacy GDPR"/>
    <x v="0"/>
    <d v="2025-06-02T00:00:00"/>
    <d v="2025-06-21T00:00:00"/>
    <n v="15.8"/>
    <b v="1"/>
    <n v="87.4"/>
    <s v="Completed"/>
  </r>
  <r>
    <n v="60"/>
    <s v="David Lee"/>
    <s v="Operations"/>
    <s v="Conflict Resolution"/>
    <x v="2"/>
    <d v="2025-12-23T00:00:00"/>
    <m/>
    <n v="21.3"/>
    <b v="0"/>
    <n v="45.5"/>
    <s v="Failed"/>
  </r>
  <r>
    <n v="61"/>
    <s v="David Lee"/>
    <s v="Operations"/>
    <s v="Hazard Identification"/>
    <x v="1"/>
    <d v="2025-08-09T00:00:00"/>
    <m/>
    <n v="23.2"/>
    <b v="0"/>
    <m/>
    <s v="Not Started"/>
  </r>
  <r>
    <n v="62"/>
    <s v="David Lee"/>
    <s v="Operations"/>
    <s v="Code of Conduct"/>
    <x v="0"/>
    <d v="2025-02-02T00:00:00"/>
    <m/>
    <n v="11.3"/>
    <b v="0"/>
    <m/>
    <s v="In Progress"/>
  </r>
  <r>
    <n v="63"/>
    <s v="David Lee"/>
    <s v="Operations"/>
    <s v="Coaching Skills"/>
    <x v="3"/>
    <d v="2025-08-15T00:00:00"/>
    <d v="2025-09-23T00:00:00"/>
    <n v="26.1"/>
    <b v="0"/>
    <n v="89"/>
    <s v="Completed"/>
  </r>
  <r>
    <n v="64"/>
    <s v="David Lee"/>
    <s v="Operations"/>
    <s v="Leadership Essentials"/>
    <x v="3"/>
    <d v="2025-08-24T00:00:00"/>
    <d v="2025-10-05T00:00:00"/>
    <n v="38.5"/>
    <b v="1"/>
    <n v="83.7"/>
    <s v="Completed"/>
  </r>
  <r>
    <n v="65"/>
    <s v="David Lee"/>
    <s v="Operations"/>
    <s v="Strategic Thinking"/>
    <x v="3"/>
    <d v="2026-03-25T00:00:00"/>
    <m/>
    <n v="13.1"/>
    <b v="0"/>
    <n v="32.799999999999997"/>
    <s v="Failed"/>
  </r>
  <r>
    <n v="66"/>
    <s v="David Lee"/>
    <s v="Operations"/>
    <s v="Coaching Skills"/>
    <x v="3"/>
    <d v="2025-03-17T00:00:00"/>
    <m/>
    <n v="24.6"/>
    <b v="0"/>
    <m/>
    <s v="In Progress"/>
  </r>
  <r>
    <n v="67"/>
    <s v="David Lee"/>
    <s v="Operations"/>
    <s v="Change Management"/>
    <x v="3"/>
    <d v="2025-11-02T00:00:00"/>
    <m/>
    <n v="32.799999999999997"/>
    <b v="0"/>
    <m/>
    <s v="Not Started"/>
  </r>
  <r>
    <n v="68"/>
    <s v="David Lee"/>
    <s v="Operations"/>
    <s v="Change Management"/>
    <x v="3"/>
    <d v="2025-04-17T00:00:00"/>
    <m/>
    <n v="8.3000000000000007"/>
    <b v="0"/>
    <n v="32.5"/>
    <s v="Failed"/>
  </r>
  <r>
    <n v="69"/>
    <s v="David Lee"/>
    <s v="Operations"/>
    <s v="Coaching Skills"/>
    <x v="3"/>
    <d v="2025-11-24T00:00:00"/>
    <m/>
    <n v="28.2"/>
    <b v="0"/>
    <m/>
    <s v="Not Started"/>
  </r>
  <r>
    <n v="70"/>
    <s v="David Lee"/>
    <s v="Operations"/>
    <s v="Anti-Corruption Policy"/>
    <x v="0"/>
    <d v="2025-11-29T00:00:00"/>
    <m/>
    <n v="13.7"/>
    <b v="0"/>
    <m/>
    <s v="Not Started"/>
  </r>
  <r>
    <n v="71"/>
    <s v="David Lee"/>
    <s v="Operations"/>
    <s v="Anti-Corruption Policy"/>
    <x v="0"/>
    <d v="2025-08-28T00:00:00"/>
    <d v="2025-09-14T00:00:00"/>
    <n v="9.3000000000000007"/>
    <b v="1"/>
    <n v="77.5"/>
    <s v="Completed"/>
  </r>
  <r>
    <n v="72"/>
    <s v="David Lee"/>
    <s v="Operations"/>
    <s v="Anti-Corruption Policy"/>
    <x v="0"/>
    <d v="2025-02-27T00:00:00"/>
    <m/>
    <n v="37.700000000000003"/>
    <b v="0"/>
    <m/>
    <s v="In Progress"/>
  </r>
  <r>
    <n v="73"/>
    <s v="David Lee"/>
    <s v="Operations"/>
    <s v="Presentation Skills"/>
    <x v="2"/>
    <d v="2025-10-03T00:00:00"/>
    <d v="2025-10-27T00:00:00"/>
    <n v="39.5"/>
    <b v="1"/>
    <n v="98"/>
    <s v="Completed"/>
  </r>
  <r>
    <n v="74"/>
    <s v="David Lee"/>
    <s v="Operations"/>
    <s v="Leadership Essentials"/>
    <x v="3"/>
    <d v="2025-05-02T00:00:00"/>
    <m/>
    <n v="8.4"/>
    <b v="0"/>
    <m/>
    <s v="In Progress"/>
  </r>
  <r>
    <n v="75"/>
    <s v="David Lee"/>
    <s v="Operations"/>
    <s v="Coaching Skills"/>
    <x v="3"/>
    <d v="2025-01-15T00:00:00"/>
    <d v="2025-02-16T00:00:00"/>
    <n v="20.399999999999999"/>
    <b v="1"/>
    <n v="71.8"/>
    <s v="Completed"/>
  </r>
  <r>
    <n v="76"/>
    <s v="Emma Brown"/>
    <s v="Sales"/>
    <s v="Change Management"/>
    <x v="3"/>
    <d v="2025-07-19T00:00:00"/>
    <m/>
    <n v="32.1"/>
    <b v="0"/>
    <n v="58.9"/>
    <s v="Failed"/>
  </r>
  <r>
    <n v="77"/>
    <s v="Emma Brown"/>
    <s v="Sales"/>
    <s v="Communication Skills"/>
    <x v="2"/>
    <d v="2026-01-31T00:00:00"/>
    <m/>
    <n v="7.8"/>
    <b v="0"/>
    <m/>
    <s v="Not Started"/>
  </r>
  <r>
    <n v="78"/>
    <s v="Emma Brown"/>
    <s v="Sales"/>
    <s v="Team Collaboration"/>
    <x v="2"/>
    <d v="2026-03-26T00:00:00"/>
    <m/>
    <n v="7.3"/>
    <b v="0"/>
    <m/>
    <s v="In Progress"/>
  </r>
  <r>
    <n v="79"/>
    <s v="Emma Brown"/>
    <s v="Sales"/>
    <s v="Code of Conduct"/>
    <x v="0"/>
    <d v="2026-02-08T00:00:00"/>
    <d v="2026-03-19T00:00:00"/>
    <n v="9.1"/>
    <b v="1"/>
    <n v="67.900000000000006"/>
    <s v="Completed"/>
  </r>
  <r>
    <n v="80"/>
    <s v="Emma Brown"/>
    <s v="Sales"/>
    <s v="Python for Analysts"/>
    <x v="4"/>
    <d v="2026-02-14T00:00:00"/>
    <d v="2026-03-02T00:00:00"/>
    <n v="4.2"/>
    <b v="0"/>
    <n v="84.2"/>
    <s v="Completed"/>
  </r>
  <r>
    <n v="81"/>
    <s v="Emma Brown"/>
    <s v="Sales"/>
    <s v="Health Regulations"/>
    <x v="0"/>
    <d v="2025-12-27T00:00:00"/>
    <m/>
    <n v="6.1"/>
    <b v="0"/>
    <m/>
    <s v="Not Started"/>
  </r>
  <r>
    <n v="82"/>
    <s v="Emma Brown"/>
    <s v="Sales"/>
    <s v="Team Collaboration"/>
    <x v="2"/>
    <d v="2025-12-27T00:00:00"/>
    <m/>
    <n v="29.1"/>
    <b v="0"/>
    <m/>
    <s v="Not Started"/>
  </r>
  <r>
    <n v="83"/>
    <s v="Emma Brown"/>
    <s v="Sales"/>
    <s v="Hazard Identification"/>
    <x v="1"/>
    <d v="2026-01-13T00:00:00"/>
    <d v="2026-02-04T00:00:00"/>
    <n v="8.5"/>
    <b v="1"/>
    <n v="89.8"/>
    <s v="Completed"/>
  </r>
  <r>
    <n v="84"/>
    <s v="Emma Brown"/>
    <s v="Sales"/>
    <s v="Power BI Fundamentals"/>
    <x v="4"/>
    <d v="2025-10-11T00:00:00"/>
    <d v="2025-10-19T00:00:00"/>
    <n v="30.4"/>
    <b v="0"/>
    <n v="70.8"/>
    <s v="Completed"/>
  </r>
  <r>
    <n v="85"/>
    <s v="Emma Brown"/>
    <s v="Sales"/>
    <s v="Fire Safety"/>
    <x v="1"/>
    <d v="2025-11-16T00:00:00"/>
    <m/>
    <n v="6"/>
    <b v="0"/>
    <m/>
    <s v="In Progress"/>
  </r>
  <r>
    <n v="86"/>
    <s v="Emma Brown"/>
    <s v="Sales"/>
    <s v="Fire Safety"/>
    <x v="1"/>
    <d v="2025-10-05T00:00:00"/>
    <m/>
    <n v="29.5"/>
    <b v="0"/>
    <m/>
    <s v="Not Started"/>
  </r>
  <r>
    <n v="87"/>
    <s v="Emma Brown"/>
    <s v="Sales"/>
    <s v="Excel Advanced"/>
    <x v="4"/>
    <d v="2025-03-19T00:00:00"/>
    <d v="2025-04-07T00:00:00"/>
    <n v="39.299999999999997"/>
    <b v="1"/>
    <n v="91.4"/>
    <s v="Completed"/>
  </r>
  <r>
    <n v="88"/>
    <s v="Emma Brown"/>
    <s v="Sales"/>
    <s v="Excel Advanced"/>
    <x v="4"/>
    <d v="2025-10-14T00:00:00"/>
    <d v="2025-11-22T00:00:00"/>
    <n v="38.1"/>
    <b v="1"/>
    <n v="83.1"/>
    <s v="Completed"/>
  </r>
  <r>
    <n v="89"/>
    <s v="Emma Brown"/>
    <s v="Sales"/>
    <s v="Coaching Skills"/>
    <x v="3"/>
    <d v="2025-11-11T00:00:00"/>
    <m/>
    <n v="9.3000000000000007"/>
    <b v="0"/>
    <n v="41.7"/>
    <s v="Failed"/>
  </r>
  <r>
    <n v="90"/>
    <s v="Emma Brown"/>
    <s v="Sales"/>
    <s v="Health Regulations"/>
    <x v="0"/>
    <d v="2025-08-02T00:00:00"/>
    <d v="2025-08-12T00:00:00"/>
    <n v="14"/>
    <b v="1"/>
    <n v="77.099999999999994"/>
    <s v="Completed"/>
  </r>
  <r>
    <n v="91"/>
    <s v="Emma Brown"/>
    <s v="Sales"/>
    <s v="SQL Basics"/>
    <x v="4"/>
    <d v="2025-10-02T00:00:00"/>
    <d v="2025-10-23T00:00:00"/>
    <n v="18.7"/>
    <b v="0"/>
    <n v="83.5"/>
    <s v="Completed"/>
  </r>
  <r>
    <n v="92"/>
    <s v="Emma Brown"/>
    <s v="Sales"/>
    <s v="Code of Conduct"/>
    <x v="0"/>
    <d v="2025-05-23T00:00:00"/>
    <d v="2025-07-03T00:00:00"/>
    <n v="21.1"/>
    <b v="0"/>
    <n v="82.9"/>
    <s v="Completed"/>
  </r>
  <r>
    <n v="93"/>
    <s v="Emma Brown"/>
    <s v="Sales"/>
    <s v="Excel Advanced"/>
    <x v="4"/>
    <d v="2025-09-12T00:00:00"/>
    <m/>
    <n v="27.5"/>
    <b v="0"/>
    <m/>
    <s v="In Progress"/>
  </r>
  <r>
    <n v="94"/>
    <s v="Emma Brown"/>
    <s v="Sales"/>
    <s v="Code of Conduct"/>
    <x v="0"/>
    <d v="2025-05-23T00:00:00"/>
    <d v="2025-06-06T00:00:00"/>
    <n v="19.5"/>
    <b v="1"/>
    <n v="74.400000000000006"/>
    <s v="Completed"/>
  </r>
  <r>
    <n v="95"/>
    <s v="Emma Brown"/>
    <s v="Sales"/>
    <s v="Health Regulations"/>
    <x v="0"/>
    <d v="2025-08-19T00:00:00"/>
    <m/>
    <n v="37.200000000000003"/>
    <b v="0"/>
    <m/>
    <s v="Not Started"/>
  </r>
  <r>
    <n v="96"/>
    <s v="Emma Brown"/>
    <s v="Sales"/>
    <s v="Health Regulations"/>
    <x v="0"/>
    <d v="2025-08-15T00:00:00"/>
    <m/>
    <n v="15.3"/>
    <b v="0"/>
    <m/>
    <s v="Not Started"/>
  </r>
  <r>
    <n v="97"/>
    <s v="Emma Brown"/>
    <s v="Sales"/>
    <s v="Coaching Skills"/>
    <x v="3"/>
    <d v="2026-01-12T00:00:00"/>
    <d v="2026-02-01T00:00:00"/>
    <n v="6.6"/>
    <b v="1"/>
    <n v="62.2"/>
    <s v="Completed"/>
  </r>
  <r>
    <n v="98"/>
    <s v="Emma Brown"/>
    <s v="Sales"/>
    <s v="Leadership Essentials"/>
    <x v="3"/>
    <d v="2025-05-07T00:00:00"/>
    <d v="2025-06-03T00:00:00"/>
    <n v="15.3"/>
    <b v="1"/>
    <n v="60.6"/>
    <s v="Completed"/>
  </r>
  <r>
    <n v="99"/>
    <s v="Frank Wilson"/>
    <s v="Finance"/>
    <s v="Strategic Thinking"/>
    <x v="3"/>
    <d v="2025-11-14T00:00:00"/>
    <d v="2025-12-23T00:00:00"/>
    <n v="9.5"/>
    <b v="1"/>
    <n v="64.8"/>
    <s v="Completed"/>
  </r>
  <r>
    <n v="100"/>
    <s v="Frank Wilson"/>
    <s v="Finance"/>
    <s v="Change Management"/>
    <x v="3"/>
    <d v="2025-08-14T00:00:00"/>
    <m/>
    <n v="31.8"/>
    <b v="0"/>
    <n v="49.9"/>
    <s v="Failed"/>
  </r>
  <r>
    <n v="101"/>
    <s v="Frank Wilson"/>
    <s v="Finance"/>
    <s v="Power BI Fundamentals"/>
    <x v="4"/>
    <d v="2025-12-05T00:00:00"/>
    <m/>
    <n v="4.4000000000000004"/>
    <b v="0"/>
    <m/>
    <s v="In Progress"/>
  </r>
  <r>
    <n v="102"/>
    <s v="Frank Wilson"/>
    <s v="Finance"/>
    <s v="Data Privacy GDPR"/>
    <x v="0"/>
    <d v="2025-12-07T00:00:00"/>
    <d v="2026-01-02T00:00:00"/>
    <n v="10"/>
    <b v="1"/>
    <n v="99.6"/>
    <s v="Completed"/>
  </r>
  <r>
    <n v="103"/>
    <s v="Frank Wilson"/>
    <s v="Finance"/>
    <s v="First Aid"/>
    <x v="1"/>
    <d v="2025-04-01T00:00:00"/>
    <m/>
    <n v="9.1"/>
    <b v="0"/>
    <n v="41.4"/>
    <s v="Failed"/>
  </r>
  <r>
    <n v="104"/>
    <s v="Frank Wilson"/>
    <s v="Finance"/>
    <s v="Communication Skills"/>
    <x v="2"/>
    <d v="2026-01-11T00:00:00"/>
    <d v="2026-02-15T00:00:00"/>
    <n v="20.9"/>
    <b v="0"/>
    <n v="67.2"/>
    <s v="Completed"/>
  </r>
  <r>
    <n v="105"/>
    <s v="Frank Wilson"/>
    <s v="Finance"/>
    <s v="Presentation Skills"/>
    <x v="2"/>
    <d v="2026-02-28T00:00:00"/>
    <d v="2026-03-06T00:00:00"/>
    <n v="14.5"/>
    <b v="1"/>
    <n v="83.5"/>
    <s v="Completed"/>
  </r>
  <r>
    <n v="106"/>
    <s v="Frank Wilson"/>
    <s v="Finance"/>
    <s v="Anti-Corruption Policy"/>
    <x v="0"/>
    <d v="2025-01-07T00:00:00"/>
    <d v="2025-01-15T00:00:00"/>
    <n v="34.4"/>
    <b v="1"/>
    <n v="86"/>
    <s v="Completed"/>
  </r>
  <r>
    <n v="107"/>
    <s v="Frank Wilson"/>
    <s v="Finance"/>
    <s v="Coaching Skills"/>
    <x v="3"/>
    <d v="2025-12-24T00:00:00"/>
    <d v="2026-01-28T00:00:00"/>
    <n v="17.2"/>
    <b v="1"/>
    <n v="73.5"/>
    <s v="Completed"/>
  </r>
  <r>
    <n v="108"/>
    <s v="Frank Wilson"/>
    <s v="Finance"/>
    <s v="Hazard Identification"/>
    <x v="1"/>
    <d v="2025-05-29T00:00:00"/>
    <m/>
    <n v="34.700000000000003"/>
    <b v="0"/>
    <m/>
    <s v="Not Started"/>
  </r>
  <r>
    <n v="109"/>
    <s v="Frank Wilson"/>
    <s v="Finance"/>
    <s v="Team Collaboration"/>
    <x v="2"/>
    <d v="2025-07-13T00:00:00"/>
    <m/>
    <n v="34.6"/>
    <b v="0"/>
    <m/>
    <s v="In Progress"/>
  </r>
  <r>
    <n v="110"/>
    <s v="Frank Wilson"/>
    <s v="Finance"/>
    <s v="Conflict Resolution"/>
    <x v="2"/>
    <d v="2025-09-20T00:00:00"/>
    <d v="2025-10-14T00:00:00"/>
    <n v="7.8"/>
    <b v="1"/>
    <n v="96.7"/>
    <s v="Completed"/>
  </r>
  <r>
    <n v="111"/>
    <s v="Frank Wilson"/>
    <s v="Finance"/>
    <s v="Code of Conduct"/>
    <x v="0"/>
    <d v="2025-06-26T00:00:00"/>
    <d v="2025-07-08T00:00:00"/>
    <n v="10.9"/>
    <b v="0"/>
    <n v="97.1"/>
    <s v="Completed"/>
  </r>
  <r>
    <n v="112"/>
    <s v="Frank Wilson"/>
    <s v="Finance"/>
    <s v="Anti-Corruption Policy"/>
    <x v="0"/>
    <d v="2025-07-09T00:00:00"/>
    <m/>
    <n v="4.3"/>
    <b v="0"/>
    <m/>
    <s v="In Progress"/>
  </r>
  <r>
    <n v="113"/>
    <s v="Frank Wilson"/>
    <s v="Finance"/>
    <s v="Change Management"/>
    <x v="3"/>
    <d v="2025-03-18T00:00:00"/>
    <m/>
    <n v="39.299999999999997"/>
    <b v="0"/>
    <m/>
    <s v="In Progress"/>
  </r>
  <r>
    <n v="114"/>
    <s v="Frank Wilson"/>
    <s v="Finance"/>
    <s v="First Aid"/>
    <x v="1"/>
    <d v="2026-01-31T00:00:00"/>
    <m/>
    <n v="36.5"/>
    <b v="0"/>
    <m/>
    <s v="Not Started"/>
  </r>
  <r>
    <n v="115"/>
    <s v="Frank Wilson"/>
    <s v="Finance"/>
    <s v="Coaching Skills"/>
    <x v="3"/>
    <d v="2025-05-09T00:00:00"/>
    <m/>
    <n v="35.200000000000003"/>
    <b v="0"/>
    <m/>
    <s v="Not Started"/>
  </r>
  <r>
    <n v="116"/>
    <s v="Frank Wilson"/>
    <s v="Finance"/>
    <s v="Python for Analysts"/>
    <x v="4"/>
    <d v="2025-08-17T00:00:00"/>
    <d v="2025-09-20T00:00:00"/>
    <n v="23.9"/>
    <b v="1"/>
    <n v="98.8"/>
    <s v="Completed"/>
  </r>
  <r>
    <n v="117"/>
    <s v="Frank Wilson"/>
    <s v="Finance"/>
    <s v="SQL Basics"/>
    <x v="4"/>
    <d v="2025-03-11T00:00:00"/>
    <m/>
    <n v="31"/>
    <b v="0"/>
    <m/>
    <s v="In Progress"/>
  </r>
  <r>
    <n v="118"/>
    <s v="Frank Wilson"/>
    <s v="Finance"/>
    <s v="Anti-Corruption Policy"/>
    <x v="0"/>
    <d v="2025-01-03T00:00:00"/>
    <d v="2025-01-12T00:00:00"/>
    <n v="32"/>
    <b v="1"/>
    <n v="99.4"/>
    <s v="Completed"/>
  </r>
  <r>
    <n v="119"/>
    <s v="Grace Chen"/>
    <s v="HR"/>
    <s v="Change Management"/>
    <x v="3"/>
    <d v="2026-03-17T00:00:00"/>
    <m/>
    <n v="7.1"/>
    <b v="0"/>
    <m/>
    <s v="Not Started"/>
  </r>
  <r>
    <n v="120"/>
    <s v="Grace Chen"/>
    <s v="HR"/>
    <s v="Leadership Essentials"/>
    <x v="3"/>
    <d v="2025-09-07T00:00:00"/>
    <m/>
    <n v="33.6"/>
    <b v="0"/>
    <n v="40.799999999999997"/>
    <s v="Failed"/>
  </r>
  <r>
    <n v="121"/>
    <s v="Grace Chen"/>
    <s v="HR"/>
    <s v="Hazard Identification"/>
    <x v="1"/>
    <d v="2025-01-22T00:00:00"/>
    <m/>
    <n v="29.7"/>
    <b v="0"/>
    <m/>
    <s v="In Progress"/>
  </r>
  <r>
    <n v="122"/>
    <s v="Grace Chen"/>
    <s v="HR"/>
    <s v="Power BI Fundamentals"/>
    <x v="4"/>
    <d v="2025-12-15T00:00:00"/>
    <m/>
    <n v="32.799999999999997"/>
    <b v="0"/>
    <m/>
    <s v="In Progress"/>
  </r>
  <r>
    <n v="123"/>
    <s v="Grace Chen"/>
    <s v="HR"/>
    <s v="Workplace Ergonomics"/>
    <x v="1"/>
    <d v="2025-01-23T00:00:00"/>
    <m/>
    <n v="34.9"/>
    <b v="0"/>
    <m/>
    <s v="In Progress"/>
  </r>
  <r>
    <n v="124"/>
    <s v="Grace Chen"/>
    <s v="HR"/>
    <s v="Conflict Resolution"/>
    <x v="2"/>
    <d v="2025-01-03T00:00:00"/>
    <m/>
    <n v="5.0999999999999996"/>
    <b v="0"/>
    <m/>
    <s v="In Progress"/>
  </r>
  <r>
    <n v="125"/>
    <s v="Grace Chen"/>
    <s v="HR"/>
    <s v="Strategic Thinking"/>
    <x v="3"/>
    <d v="2025-06-30T00:00:00"/>
    <m/>
    <n v="12.6"/>
    <b v="0"/>
    <m/>
    <s v="In Progress"/>
  </r>
  <r>
    <n v="126"/>
    <s v="Grace Chen"/>
    <s v="HR"/>
    <s v="Workplace Ergonomics"/>
    <x v="1"/>
    <d v="2026-01-19T00:00:00"/>
    <m/>
    <n v="14.8"/>
    <b v="0"/>
    <m/>
    <s v="Not Started"/>
  </r>
  <r>
    <n v="127"/>
    <s v="Grace Chen"/>
    <s v="HR"/>
    <s v="Team Collaboration"/>
    <x v="2"/>
    <d v="2025-09-23T00:00:00"/>
    <d v="2025-10-15T00:00:00"/>
    <n v="35.9"/>
    <b v="0"/>
    <n v="63.4"/>
    <s v="Completed"/>
  </r>
  <r>
    <n v="128"/>
    <s v="Grace Chen"/>
    <s v="HR"/>
    <s v="Team Collaboration"/>
    <x v="2"/>
    <d v="2025-06-03T00:00:00"/>
    <m/>
    <n v="40"/>
    <b v="0"/>
    <m/>
    <s v="Not Started"/>
  </r>
  <r>
    <n v="129"/>
    <s v="Grace Chen"/>
    <s v="HR"/>
    <s v="Code of Conduct"/>
    <x v="0"/>
    <d v="2025-05-14T00:00:00"/>
    <d v="2025-06-19T00:00:00"/>
    <n v="24.7"/>
    <b v="1"/>
    <n v="88"/>
    <s v="Completed"/>
  </r>
  <r>
    <n v="130"/>
    <s v="Grace Chen"/>
    <s v="HR"/>
    <s v="Coaching Skills"/>
    <x v="3"/>
    <d v="2025-09-25T00:00:00"/>
    <m/>
    <n v="21.9"/>
    <b v="0"/>
    <n v="40.6"/>
    <s v="Failed"/>
  </r>
  <r>
    <n v="131"/>
    <s v="Grace Chen"/>
    <s v="HR"/>
    <s v="Communication Skills"/>
    <x v="2"/>
    <d v="2025-01-31T00:00:00"/>
    <d v="2025-02-19T00:00:00"/>
    <n v="20.3"/>
    <b v="1"/>
    <n v="73.7"/>
    <s v="Completed"/>
  </r>
  <r>
    <n v="132"/>
    <s v="Grace Chen"/>
    <s v="HR"/>
    <s v="Conflict Resolution"/>
    <x v="2"/>
    <d v="2025-07-09T00:00:00"/>
    <m/>
    <n v="23.5"/>
    <b v="0"/>
    <m/>
    <s v="Not Started"/>
  </r>
  <r>
    <n v="133"/>
    <s v="Grace Chen"/>
    <s v="HR"/>
    <s v="Hazard Identification"/>
    <x v="1"/>
    <d v="2025-05-09T00:00:00"/>
    <d v="2025-05-27T00:00:00"/>
    <n v="15.7"/>
    <b v="1"/>
    <n v="81.2"/>
    <s v="Completed"/>
  </r>
  <r>
    <n v="134"/>
    <s v="Grace Chen"/>
    <s v="HR"/>
    <s v="Hazard Identification"/>
    <x v="1"/>
    <d v="2025-12-01T00:00:00"/>
    <m/>
    <n v="14.8"/>
    <b v="0"/>
    <m/>
    <s v="In Progress"/>
  </r>
  <r>
    <n v="135"/>
    <s v="Grace Chen"/>
    <s v="HR"/>
    <s v="Strategic Thinking"/>
    <x v="3"/>
    <d v="2025-04-19T00:00:00"/>
    <d v="2025-05-05T00:00:00"/>
    <n v="35.5"/>
    <b v="1"/>
    <n v="82.5"/>
    <s v="Completed"/>
  </r>
  <r>
    <n v="136"/>
    <s v="Grace Chen"/>
    <s v="HR"/>
    <s v="Conflict Resolution"/>
    <x v="2"/>
    <d v="2025-12-23T00:00:00"/>
    <d v="2026-01-20T00:00:00"/>
    <n v="21.1"/>
    <b v="1"/>
    <n v="87"/>
    <s v="Completed"/>
  </r>
  <r>
    <n v="137"/>
    <s v="Grace Chen"/>
    <s v="HR"/>
    <s v="Anti-Corruption Policy"/>
    <x v="0"/>
    <d v="2026-01-02T00:00:00"/>
    <m/>
    <n v="10.7"/>
    <b v="0"/>
    <m/>
    <s v="Not Started"/>
  </r>
  <r>
    <n v="138"/>
    <s v="Grace Chen"/>
    <s v="HR"/>
    <s v="Fire Safety"/>
    <x v="1"/>
    <d v="2025-09-10T00:00:00"/>
    <m/>
    <n v="38.4"/>
    <b v="0"/>
    <m/>
    <s v="In Progress"/>
  </r>
  <r>
    <n v="139"/>
    <s v="Grace Chen"/>
    <s v="HR"/>
    <s v="SQL Basics"/>
    <x v="4"/>
    <d v="2025-08-19T00:00:00"/>
    <d v="2025-09-30T00:00:00"/>
    <n v="38.6"/>
    <b v="0"/>
    <n v="61.6"/>
    <s v="Completed"/>
  </r>
  <r>
    <n v="140"/>
    <s v="Grace Chen"/>
    <s v="HR"/>
    <s v="Leadership Essentials"/>
    <x v="3"/>
    <d v="2025-04-21T00:00:00"/>
    <d v="2025-05-18T00:00:00"/>
    <n v="22.6"/>
    <b v="1"/>
    <n v="62"/>
    <s v="Completed"/>
  </r>
  <r>
    <n v="141"/>
    <s v="Grace Chen"/>
    <s v="HR"/>
    <s v="SQL Basics"/>
    <x v="4"/>
    <d v="2025-02-20T00:00:00"/>
    <d v="2025-03-22T00:00:00"/>
    <n v="29.1"/>
    <b v="0"/>
    <n v="72.099999999999994"/>
    <s v="Completed"/>
  </r>
  <r>
    <n v="142"/>
    <s v="Henry Davis"/>
    <s v="IT"/>
    <s v="Change Management"/>
    <x v="3"/>
    <d v="2025-04-14T00:00:00"/>
    <d v="2025-05-05T00:00:00"/>
    <n v="8"/>
    <b v="1"/>
    <n v="60"/>
    <s v="Completed"/>
  </r>
  <r>
    <n v="143"/>
    <s v="Henry Davis"/>
    <s v="IT"/>
    <s v="Power BI Fundamentals"/>
    <x v="4"/>
    <d v="2025-05-04T00:00:00"/>
    <d v="2025-05-28T00:00:00"/>
    <n v="19.5"/>
    <b v="1"/>
    <n v="93.6"/>
    <s v="Completed"/>
  </r>
  <r>
    <n v="144"/>
    <s v="Henry Davis"/>
    <s v="IT"/>
    <s v="Change Management"/>
    <x v="3"/>
    <d v="2025-04-14T00:00:00"/>
    <d v="2025-05-01T00:00:00"/>
    <n v="21.3"/>
    <b v="1"/>
    <n v="69.099999999999994"/>
    <s v="Completed"/>
  </r>
  <r>
    <n v="145"/>
    <s v="Henry Davis"/>
    <s v="IT"/>
    <s v="Anti-Corruption Policy"/>
    <x v="0"/>
    <d v="2025-04-22T00:00:00"/>
    <d v="2025-06-03T00:00:00"/>
    <n v="20.6"/>
    <b v="1"/>
    <n v="66"/>
    <s v="Completed"/>
  </r>
  <r>
    <n v="146"/>
    <s v="Henry Davis"/>
    <s v="IT"/>
    <s v="Data Privacy GDPR"/>
    <x v="0"/>
    <d v="2025-05-24T00:00:00"/>
    <m/>
    <n v="4.3"/>
    <b v="0"/>
    <n v="30.9"/>
    <s v="Failed"/>
  </r>
  <r>
    <n v="147"/>
    <s v="Henry Davis"/>
    <s v="IT"/>
    <s v="Python for Analysts"/>
    <x v="4"/>
    <d v="2025-11-14T00:00:00"/>
    <d v="2025-12-13T00:00:00"/>
    <n v="24.5"/>
    <b v="1"/>
    <n v="94"/>
    <s v="Completed"/>
  </r>
  <r>
    <n v="148"/>
    <s v="Henry Davis"/>
    <s v="IT"/>
    <s v="Leadership Essentials"/>
    <x v="3"/>
    <d v="2025-05-07T00:00:00"/>
    <m/>
    <n v="9.9"/>
    <b v="0"/>
    <m/>
    <s v="In Progress"/>
  </r>
  <r>
    <n v="149"/>
    <s v="Henry Davis"/>
    <s v="IT"/>
    <s v="Hazard Identification"/>
    <x v="1"/>
    <d v="2026-03-24T00:00:00"/>
    <d v="2026-05-02T00:00:00"/>
    <n v="37.1"/>
    <b v="1"/>
    <n v="84.1"/>
    <s v="Completed"/>
  </r>
  <r>
    <n v="150"/>
    <s v="Henry Davis"/>
    <s v="IT"/>
    <s v="Hazard Identification"/>
    <x v="1"/>
    <d v="2025-02-05T00:00:00"/>
    <m/>
    <n v="15.5"/>
    <b v="0"/>
    <m/>
    <s v="Not Started"/>
  </r>
  <r>
    <n v="151"/>
    <s v="Henry Davis"/>
    <s v="IT"/>
    <s v="Strategic Thinking"/>
    <x v="3"/>
    <d v="2025-02-20T00:00:00"/>
    <d v="2025-03-21T00:00:00"/>
    <n v="18.899999999999999"/>
    <b v="1"/>
    <n v="63.1"/>
    <s v="Completed"/>
  </r>
  <r>
    <n v="152"/>
    <s v="Henry Davis"/>
    <s v="IT"/>
    <s v="Fire Safety"/>
    <x v="1"/>
    <d v="2025-11-28T00:00:00"/>
    <d v="2025-12-16T00:00:00"/>
    <n v="10"/>
    <b v="1"/>
    <n v="88.3"/>
    <s v="Completed"/>
  </r>
  <r>
    <n v="153"/>
    <s v="Henry Davis"/>
    <s v="IT"/>
    <s v="Team Collaboration"/>
    <x v="2"/>
    <d v="2026-01-07T00:00:00"/>
    <m/>
    <n v="25.4"/>
    <b v="0"/>
    <m/>
    <s v="Not Started"/>
  </r>
  <r>
    <n v="154"/>
    <s v="Henry Davis"/>
    <s v="IT"/>
    <s v="Communication Skills"/>
    <x v="2"/>
    <d v="2025-12-16T00:00:00"/>
    <m/>
    <n v="10.199999999999999"/>
    <b v="0"/>
    <m/>
    <s v="In Progress"/>
  </r>
  <r>
    <n v="155"/>
    <s v="Henry Davis"/>
    <s v="IT"/>
    <s v="Code of Conduct"/>
    <x v="0"/>
    <d v="2025-02-24T00:00:00"/>
    <d v="2025-04-09T00:00:00"/>
    <n v="4.5999999999999996"/>
    <b v="1"/>
    <n v="83.4"/>
    <s v="Completed"/>
  </r>
  <r>
    <n v="156"/>
    <s v="Henry Davis"/>
    <s v="IT"/>
    <s v="Communication Skills"/>
    <x v="2"/>
    <d v="2025-09-15T00:00:00"/>
    <m/>
    <n v="23.3"/>
    <b v="0"/>
    <m/>
    <s v="Not Started"/>
  </r>
  <r>
    <n v="157"/>
    <s v="Henry Davis"/>
    <s v="IT"/>
    <s v="Power BI Fundamentals"/>
    <x v="4"/>
    <d v="2025-03-24T00:00:00"/>
    <d v="2025-04-08T00:00:00"/>
    <n v="25.4"/>
    <b v="1"/>
    <n v="86.5"/>
    <s v="Completed"/>
  </r>
  <r>
    <n v="158"/>
    <s v="Henry Davis"/>
    <s v="IT"/>
    <s v="Hazard Identification"/>
    <x v="1"/>
    <d v="2025-03-27T00:00:00"/>
    <m/>
    <n v="12.3"/>
    <b v="0"/>
    <m/>
    <s v="In Progress"/>
  </r>
  <r>
    <n v="159"/>
    <s v="Henry Davis"/>
    <s v="IT"/>
    <s v="Hazard Identification"/>
    <x v="1"/>
    <d v="2026-01-13T00:00:00"/>
    <m/>
    <n v="23.9"/>
    <b v="0"/>
    <m/>
    <s v="In Progress"/>
  </r>
  <r>
    <n v="160"/>
    <s v="Henry Davis"/>
    <s v="IT"/>
    <s v="Change Management"/>
    <x v="3"/>
    <d v="2025-12-05T00:00:00"/>
    <m/>
    <n v="24.4"/>
    <b v="0"/>
    <m/>
    <s v="In Progress"/>
  </r>
  <r>
    <n v="161"/>
    <s v="Henry Davis"/>
    <s v="IT"/>
    <s v="Presentation Skills"/>
    <x v="2"/>
    <d v="2025-11-19T00:00:00"/>
    <d v="2026-01-02T00:00:00"/>
    <n v="22.5"/>
    <b v="0"/>
    <n v="91.8"/>
    <s v="Completed"/>
  </r>
  <r>
    <n v="162"/>
    <s v="Isabella Taylor"/>
    <s v="Operations"/>
    <s v="Change Management"/>
    <x v="3"/>
    <d v="2025-07-03T00:00:00"/>
    <m/>
    <n v="18.2"/>
    <b v="0"/>
    <m/>
    <s v="Not Started"/>
  </r>
  <r>
    <n v="163"/>
    <s v="Isabella Taylor"/>
    <s v="Operations"/>
    <s v="Python for Analysts"/>
    <x v="4"/>
    <d v="2025-11-04T00:00:00"/>
    <m/>
    <n v="10.4"/>
    <b v="0"/>
    <n v="54.9"/>
    <s v="Failed"/>
  </r>
  <r>
    <n v="164"/>
    <s v="Isabella Taylor"/>
    <s v="Operations"/>
    <s v="SQL Basics"/>
    <x v="4"/>
    <d v="2026-02-15T00:00:00"/>
    <d v="2026-03-01T00:00:00"/>
    <n v="30.4"/>
    <b v="1"/>
    <n v="75.2"/>
    <s v="Completed"/>
  </r>
  <r>
    <n v="165"/>
    <s v="Isabella Taylor"/>
    <s v="Operations"/>
    <s v="Conflict Resolution"/>
    <x v="2"/>
    <d v="2025-08-21T00:00:00"/>
    <m/>
    <n v="32.200000000000003"/>
    <b v="0"/>
    <m/>
    <s v="In Progress"/>
  </r>
  <r>
    <n v="166"/>
    <s v="Isabella Taylor"/>
    <s v="Operations"/>
    <s v="Health Regulations"/>
    <x v="0"/>
    <d v="2025-09-14T00:00:00"/>
    <m/>
    <n v="35.200000000000003"/>
    <b v="0"/>
    <n v="32.9"/>
    <s v="Failed"/>
  </r>
  <r>
    <n v="167"/>
    <s v="Isabella Taylor"/>
    <s v="Operations"/>
    <s v="Python for Analysts"/>
    <x v="4"/>
    <d v="2025-04-02T00:00:00"/>
    <d v="2025-04-24T00:00:00"/>
    <n v="39.299999999999997"/>
    <b v="1"/>
    <n v="88.8"/>
    <s v="Completed"/>
  </r>
  <r>
    <n v="168"/>
    <s v="Isabella Taylor"/>
    <s v="Operations"/>
    <s v="Health Regulations"/>
    <x v="0"/>
    <d v="2026-02-04T00:00:00"/>
    <d v="2026-03-06T00:00:00"/>
    <n v="25.9"/>
    <b v="1"/>
    <n v="76.400000000000006"/>
    <s v="Completed"/>
  </r>
  <r>
    <n v="169"/>
    <s v="Isabella Taylor"/>
    <s v="Operations"/>
    <s v="Communication Skills"/>
    <x v="2"/>
    <d v="2025-09-28T00:00:00"/>
    <d v="2025-10-26T00:00:00"/>
    <n v="11.1"/>
    <b v="1"/>
    <n v="75.8"/>
    <s v="Completed"/>
  </r>
  <r>
    <n v="170"/>
    <s v="Isabella Taylor"/>
    <s v="Operations"/>
    <s v="Hazard Identification"/>
    <x v="1"/>
    <d v="2025-02-28T00:00:00"/>
    <m/>
    <n v="16.2"/>
    <b v="0"/>
    <m/>
    <s v="In Progress"/>
  </r>
  <r>
    <n v="171"/>
    <s v="Isabella Taylor"/>
    <s v="Operations"/>
    <s v="Python for Analysts"/>
    <x v="4"/>
    <d v="2026-03-06T00:00:00"/>
    <d v="2026-04-09T00:00:00"/>
    <n v="31.1"/>
    <b v="1"/>
    <n v="71.099999999999994"/>
    <s v="Completed"/>
  </r>
  <r>
    <n v="172"/>
    <s v="Isabella Taylor"/>
    <s v="Operations"/>
    <s v="Conflict Resolution"/>
    <x v="2"/>
    <d v="2025-04-01T00:00:00"/>
    <d v="2025-05-15T00:00:00"/>
    <n v="20.9"/>
    <b v="1"/>
    <n v="61.8"/>
    <s v="Completed"/>
  </r>
  <r>
    <n v="173"/>
    <s v="Isabella Taylor"/>
    <s v="Operations"/>
    <s v="Python for Analysts"/>
    <x v="4"/>
    <d v="2025-08-05T00:00:00"/>
    <m/>
    <n v="21.8"/>
    <b v="0"/>
    <m/>
    <s v="In Progress"/>
  </r>
  <r>
    <n v="174"/>
    <s v="Isabella Taylor"/>
    <s v="Operations"/>
    <s v="Hazard Identification"/>
    <x v="1"/>
    <d v="2025-02-19T00:00:00"/>
    <d v="2025-03-05T00:00:00"/>
    <n v="31.5"/>
    <b v="1"/>
    <n v="96.1"/>
    <s v="Completed"/>
  </r>
  <r>
    <n v="175"/>
    <s v="Isabella Taylor"/>
    <s v="Operations"/>
    <s v="Communication Skills"/>
    <x v="2"/>
    <d v="2026-03-20T00:00:00"/>
    <m/>
    <n v="6.6"/>
    <b v="0"/>
    <n v="38.799999999999997"/>
    <s v="Failed"/>
  </r>
  <r>
    <n v="176"/>
    <s v="Isabella Taylor"/>
    <s v="Operations"/>
    <s v="Fire Safety"/>
    <x v="1"/>
    <d v="2025-09-06T00:00:00"/>
    <m/>
    <n v="26.2"/>
    <b v="0"/>
    <m/>
    <s v="Not Started"/>
  </r>
  <r>
    <n v="177"/>
    <s v="Isabella Taylor"/>
    <s v="Operations"/>
    <s v="Excel Advanced"/>
    <x v="4"/>
    <d v="2025-09-02T00:00:00"/>
    <d v="2025-09-27T00:00:00"/>
    <n v="9.8000000000000007"/>
    <b v="1"/>
    <n v="83.4"/>
    <s v="Completed"/>
  </r>
  <r>
    <n v="178"/>
    <s v="Isabella Taylor"/>
    <s v="Operations"/>
    <s v="Power BI Fundamentals"/>
    <x v="4"/>
    <d v="2025-11-27T00:00:00"/>
    <d v="2025-12-31T00:00:00"/>
    <n v="18.600000000000001"/>
    <b v="1"/>
    <n v="90.9"/>
    <s v="Completed"/>
  </r>
  <r>
    <n v="179"/>
    <s v="Isabella Taylor"/>
    <s v="Operations"/>
    <s v="Communication Skills"/>
    <x v="2"/>
    <d v="2025-04-04T00:00:00"/>
    <d v="2025-05-03T00:00:00"/>
    <n v="36.299999999999997"/>
    <b v="0"/>
    <n v="70.599999999999994"/>
    <s v="Completed"/>
  </r>
  <r>
    <n v="180"/>
    <s v="Isabella Taylor"/>
    <s v="Operations"/>
    <s v="Fire Safety"/>
    <x v="1"/>
    <d v="2026-01-16T00:00:00"/>
    <d v="2026-02-14T00:00:00"/>
    <n v="20.2"/>
    <b v="0"/>
    <n v="88.4"/>
    <s v="Completed"/>
  </r>
  <r>
    <n v="181"/>
    <s v="Isabella Taylor"/>
    <s v="Operations"/>
    <s v="Python for Analysts"/>
    <x v="4"/>
    <d v="2026-01-19T00:00:00"/>
    <d v="2026-02-15T00:00:00"/>
    <n v="23.1"/>
    <b v="0"/>
    <n v="69.8"/>
    <s v="Completed"/>
  </r>
  <r>
    <n v="182"/>
    <s v="James Anderson"/>
    <s v="Sales"/>
    <s v="Communication Skills"/>
    <x v="2"/>
    <d v="2025-01-17T00:00:00"/>
    <m/>
    <n v="32"/>
    <b v="0"/>
    <m/>
    <s v="Not Started"/>
  </r>
  <r>
    <n v="183"/>
    <s v="James Anderson"/>
    <s v="Sales"/>
    <s v="Team Collaboration"/>
    <x v="2"/>
    <d v="2025-05-07T00:00:00"/>
    <d v="2025-05-31T00:00:00"/>
    <n v="23.3"/>
    <b v="1"/>
    <n v="65.3"/>
    <s v="Completed"/>
  </r>
  <r>
    <n v="184"/>
    <s v="James Anderson"/>
    <s v="Sales"/>
    <s v="Communication Skills"/>
    <x v="2"/>
    <d v="2025-03-24T00:00:00"/>
    <d v="2025-05-06T00:00:00"/>
    <n v="38.299999999999997"/>
    <b v="0"/>
    <n v="82.2"/>
    <s v="Completed"/>
  </r>
  <r>
    <n v="185"/>
    <s v="James Anderson"/>
    <s v="Sales"/>
    <s v="Fire Safety"/>
    <x v="1"/>
    <d v="2025-03-15T00:00:00"/>
    <d v="2025-03-30T00:00:00"/>
    <n v="8.3000000000000007"/>
    <b v="1"/>
    <n v="72.900000000000006"/>
    <s v="Completed"/>
  </r>
  <r>
    <n v="186"/>
    <s v="James Anderson"/>
    <s v="Sales"/>
    <s v="First Aid"/>
    <x v="1"/>
    <d v="2025-02-02T00:00:00"/>
    <d v="2025-02-25T00:00:00"/>
    <n v="23.1"/>
    <b v="0"/>
    <n v="99.5"/>
    <s v="Completed"/>
  </r>
  <r>
    <n v="187"/>
    <s v="James Anderson"/>
    <s v="Sales"/>
    <s v="SQL Basics"/>
    <x v="4"/>
    <d v="2026-01-03T00:00:00"/>
    <d v="2026-02-06T00:00:00"/>
    <n v="9.5"/>
    <b v="1"/>
    <n v="73.7"/>
    <s v="Completed"/>
  </r>
  <r>
    <n v="188"/>
    <s v="James Anderson"/>
    <s v="Sales"/>
    <s v="Leadership Essentials"/>
    <x v="3"/>
    <d v="2026-02-24T00:00:00"/>
    <m/>
    <n v="26.4"/>
    <b v="0"/>
    <m/>
    <s v="Not Started"/>
  </r>
  <r>
    <n v="189"/>
    <s v="James Anderson"/>
    <s v="Sales"/>
    <s v="SQL Basics"/>
    <x v="4"/>
    <d v="2025-10-14T00:00:00"/>
    <d v="2025-11-19T00:00:00"/>
    <n v="37.299999999999997"/>
    <b v="1"/>
    <n v="85.6"/>
    <s v="Completed"/>
  </r>
  <r>
    <n v="190"/>
    <s v="James Anderson"/>
    <s v="Sales"/>
    <s v="Data Privacy GDPR"/>
    <x v="0"/>
    <d v="2025-09-06T00:00:00"/>
    <d v="2025-10-20T00:00:00"/>
    <n v="6.2"/>
    <b v="1"/>
    <n v="65.2"/>
    <s v="Completed"/>
  </r>
  <r>
    <n v="191"/>
    <s v="James Anderson"/>
    <s v="Sales"/>
    <s v="Leadership Essentials"/>
    <x v="3"/>
    <d v="2025-12-21T00:00:00"/>
    <d v="2026-01-20T00:00:00"/>
    <n v="37.200000000000003"/>
    <b v="1"/>
    <n v="89"/>
    <s v="Completed"/>
  </r>
  <r>
    <n v="192"/>
    <s v="James Anderson"/>
    <s v="Sales"/>
    <s v="Anti-Corruption Policy"/>
    <x v="0"/>
    <d v="2025-05-17T00:00:00"/>
    <m/>
    <n v="21"/>
    <b v="0"/>
    <m/>
    <s v="In Progress"/>
  </r>
  <r>
    <n v="193"/>
    <s v="James Anderson"/>
    <s v="Sales"/>
    <s v="Health Regulations"/>
    <x v="0"/>
    <d v="2025-08-25T00:00:00"/>
    <d v="2025-09-12T00:00:00"/>
    <n v="28.4"/>
    <b v="1"/>
    <n v="61.6"/>
    <s v="Completed"/>
  </r>
  <r>
    <n v="194"/>
    <s v="James Anderson"/>
    <s v="Sales"/>
    <s v="Workplace Ergonomics"/>
    <x v="1"/>
    <d v="2025-05-11T00:00:00"/>
    <m/>
    <n v="39.700000000000003"/>
    <b v="0"/>
    <m/>
    <s v="In Progress"/>
  </r>
  <r>
    <n v="195"/>
    <s v="James Anderson"/>
    <s v="Sales"/>
    <s v="Coaching Skills"/>
    <x v="3"/>
    <d v="2025-12-04T00:00:00"/>
    <d v="2026-01-04T00:00:00"/>
    <n v="38.1"/>
    <b v="1"/>
    <n v="89.5"/>
    <s v="Completed"/>
  </r>
  <r>
    <n v="196"/>
    <s v="James Anderson"/>
    <s v="Sales"/>
    <s v="Conflict Resolution"/>
    <x v="2"/>
    <d v="2026-02-07T00:00:00"/>
    <m/>
    <n v="22.3"/>
    <b v="0"/>
    <m/>
    <s v="In Progress"/>
  </r>
  <r>
    <n v="197"/>
    <s v="James Anderson"/>
    <s v="Sales"/>
    <s v="Health Regulations"/>
    <x v="0"/>
    <d v="2025-05-29T00:00:00"/>
    <m/>
    <n v="16.3"/>
    <b v="0"/>
    <m/>
    <s v="In Progress"/>
  </r>
  <r>
    <n v="198"/>
    <s v="James Anderson"/>
    <s v="Sales"/>
    <s v="Anti-Corruption Policy"/>
    <x v="0"/>
    <d v="2025-07-28T00:00:00"/>
    <d v="2025-08-19T00:00:00"/>
    <n v="7.3"/>
    <b v="1"/>
    <n v="86.2"/>
    <s v="Completed"/>
  </r>
  <r>
    <n v="199"/>
    <s v="James Anderson"/>
    <s v="Sales"/>
    <s v="Code of Conduct"/>
    <x v="0"/>
    <d v="2025-05-18T00:00:00"/>
    <d v="2025-05-23T00:00:00"/>
    <n v="11.1"/>
    <b v="1"/>
    <n v="94.4"/>
    <s v="Completed"/>
  </r>
  <r>
    <n v="200"/>
    <s v="James Anderson"/>
    <s v="Sales"/>
    <s v="Data Privacy GDPR"/>
    <x v="0"/>
    <d v="2026-02-15T00:00:00"/>
    <d v="2026-03-18T00:00:00"/>
    <n v="13.9"/>
    <b v="0"/>
    <n v="71.3"/>
    <s v="Completed"/>
  </r>
  <r>
    <n v="201"/>
    <s v="James Anderson"/>
    <s v="Sales"/>
    <s v="Team Collaboration"/>
    <x v="2"/>
    <d v="2026-02-16T00:00:00"/>
    <d v="2026-03-29T00:00:00"/>
    <n v="23.5"/>
    <b v="1"/>
    <n v="98.1"/>
    <s v="Completed"/>
  </r>
  <r>
    <n v="202"/>
    <s v="James Anderson"/>
    <s v="Sales"/>
    <s v="Coaching Skills"/>
    <x v="3"/>
    <d v="2025-12-02T00:00:00"/>
    <m/>
    <n v="15.5"/>
    <b v="0"/>
    <m/>
    <s v="In Progress"/>
  </r>
  <r>
    <n v="203"/>
    <s v="James Anderson"/>
    <s v="Sales"/>
    <s v="Health Regulations"/>
    <x v="0"/>
    <d v="2025-08-22T00:00:00"/>
    <m/>
    <n v="4.8"/>
    <b v="0"/>
    <m/>
    <s v="In Progress"/>
  </r>
  <r>
    <n v="204"/>
    <s v="James Anderson"/>
    <s v="Sales"/>
    <s v="Change Management"/>
    <x v="3"/>
    <d v="2025-11-12T00:00:00"/>
    <m/>
    <n v="20"/>
    <b v="0"/>
    <m/>
    <s v="In Progress"/>
  </r>
  <r>
    <n v="205"/>
    <s v="Karen Thomas"/>
    <s v="Finance"/>
    <s v="Hazard Identification"/>
    <x v="1"/>
    <d v="2026-01-20T00:00:00"/>
    <d v="2026-02-07T00:00:00"/>
    <n v="21.6"/>
    <b v="1"/>
    <n v="73.400000000000006"/>
    <s v="Completed"/>
  </r>
  <r>
    <n v="206"/>
    <s v="Karen Thomas"/>
    <s v="Finance"/>
    <s v="Presentation Skills"/>
    <x v="2"/>
    <d v="2025-04-20T00:00:00"/>
    <m/>
    <n v="34.4"/>
    <b v="0"/>
    <n v="51.6"/>
    <s v="Failed"/>
  </r>
  <r>
    <n v="207"/>
    <s v="Karen Thomas"/>
    <s v="Finance"/>
    <s v="Hazard Identification"/>
    <x v="1"/>
    <d v="2025-12-11T00:00:00"/>
    <d v="2025-12-25T00:00:00"/>
    <n v="20.399999999999999"/>
    <b v="0"/>
    <n v="85.8"/>
    <s v="Completed"/>
  </r>
  <r>
    <n v="208"/>
    <s v="Karen Thomas"/>
    <s v="Finance"/>
    <s v="Code of Conduct"/>
    <x v="0"/>
    <d v="2025-05-11T00:00:00"/>
    <m/>
    <n v="18.8"/>
    <b v="0"/>
    <m/>
    <s v="In Progress"/>
  </r>
  <r>
    <n v="209"/>
    <s v="Karen Thomas"/>
    <s v="Finance"/>
    <s v="Conflict Resolution"/>
    <x v="2"/>
    <d v="2025-04-09T00:00:00"/>
    <m/>
    <n v="10"/>
    <b v="0"/>
    <m/>
    <s v="Not Started"/>
  </r>
  <r>
    <n v="210"/>
    <s v="Karen Thomas"/>
    <s v="Finance"/>
    <s v="Workplace Ergonomics"/>
    <x v="1"/>
    <d v="2025-01-04T00:00:00"/>
    <m/>
    <n v="34.200000000000003"/>
    <b v="0"/>
    <m/>
    <s v="Not Started"/>
  </r>
  <r>
    <n v="211"/>
    <s v="Karen Thomas"/>
    <s v="Finance"/>
    <s v="Communication Skills"/>
    <x v="2"/>
    <d v="2025-03-04T00:00:00"/>
    <d v="2025-04-05T00:00:00"/>
    <n v="18"/>
    <b v="1"/>
    <n v="67.7"/>
    <s v="Completed"/>
  </r>
  <r>
    <n v="212"/>
    <s v="Karen Thomas"/>
    <s v="Finance"/>
    <s v="Health Regulations"/>
    <x v="0"/>
    <d v="2025-03-11T00:00:00"/>
    <m/>
    <n v="37.6"/>
    <b v="0"/>
    <m/>
    <s v="In Progress"/>
  </r>
  <r>
    <n v="213"/>
    <s v="Karen Thomas"/>
    <s v="Finance"/>
    <s v="Change Management"/>
    <x v="3"/>
    <d v="2026-03-18T00:00:00"/>
    <d v="2026-04-17T00:00:00"/>
    <n v="32.5"/>
    <b v="1"/>
    <n v="95.4"/>
    <s v="Completed"/>
  </r>
  <r>
    <n v="214"/>
    <s v="Karen Thomas"/>
    <s v="Finance"/>
    <s v="Python for Analysts"/>
    <x v="4"/>
    <d v="2025-10-26T00:00:00"/>
    <m/>
    <n v="10.3"/>
    <b v="0"/>
    <m/>
    <s v="Not Started"/>
  </r>
  <r>
    <n v="215"/>
    <s v="Karen Thomas"/>
    <s v="Finance"/>
    <s v="Python for Analysts"/>
    <x v="4"/>
    <d v="2025-07-10T00:00:00"/>
    <d v="2025-08-04T00:00:00"/>
    <n v="28.7"/>
    <b v="1"/>
    <n v="99.7"/>
    <s v="Completed"/>
  </r>
  <r>
    <n v="216"/>
    <s v="Karen Thomas"/>
    <s v="Finance"/>
    <s v="Leadership Essentials"/>
    <x v="3"/>
    <d v="2026-03-26T00:00:00"/>
    <d v="2026-04-01T00:00:00"/>
    <n v="30.2"/>
    <b v="1"/>
    <n v="72.7"/>
    <s v="Completed"/>
  </r>
  <r>
    <n v="217"/>
    <s v="Karen Thomas"/>
    <s v="Finance"/>
    <s v="Change Management"/>
    <x v="3"/>
    <d v="2025-07-27T00:00:00"/>
    <d v="2025-08-08T00:00:00"/>
    <n v="28.2"/>
    <b v="1"/>
    <n v="91.5"/>
    <s v="Completed"/>
  </r>
  <r>
    <n v="218"/>
    <s v="Karen Thomas"/>
    <s v="Finance"/>
    <s v="Coaching Skills"/>
    <x v="3"/>
    <d v="2026-01-10T00:00:00"/>
    <d v="2026-02-20T00:00:00"/>
    <n v="15.6"/>
    <b v="1"/>
    <n v="92.1"/>
    <s v="Completed"/>
  </r>
  <r>
    <n v="219"/>
    <s v="Karen Thomas"/>
    <s v="Finance"/>
    <s v="Fire Safety"/>
    <x v="1"/>
    <d v="2025-08-10T00:00:00"/>
    <d v="2025-08-23T00:00:00"/>
    <n v="35.6"/>
    <b v="0"/>
    <n v="66.099999999999994"/>
    <s v="Completed"/>
  </r>
  <r>
    <n v="220"/>
    <s v="Karen Thomas"/>
    <s v="Finance"/>
    <s v="Workplace Ergonomics"/>
    <x v="1"/>
    <d v="2025-08-29T00:00:00"/>
    <d v="2025-09-14T00:00:00"/>
    <n v="4"/>
    <b v="1"/>
    <n v="91"/>
    <s v="Completed"/>
  </r>
  <r>
    <n v="221"/>
    <s v="Karen Thomas"/>
    <s v="Finance"/>
    <s v="Python for Analysts"/>
    <x v="4"/>
    <d v="2025-01-16T00:00:00"/>
    <m/>
    <n v="10"/>
    <b v="0"/>
    <m/>
    <s v="Not Started"/>
  </r>
  <r>
    <n v="222"/>
    <s v="Karen Thomas"/>
    <s v="Finance"/>
    <s v="Data Privacy GDPR"/>
    <x v="0"/>
    <d v="2025-03-08T00:00:00"/>
    <m/>
    <n v="23.4"/>
    <b v="0"/>
    <m/>
    <s v="Not Started"/>
  </r>
  <r>
    <n v="223"/>
    <s v="Karen Thomas"/>
    <s v="Finance"/>
    <s v="Workplace Ergonomics"/>
    <x v="1"/>
    <d v="2026-01-04T00:00:00"/>
    <d v="2026-01-10T00:00:00"/>
    <n v="30.6"/>
    <b v="1"/>
    <n v="90.1"/>
    <s v="Completed"/>
  </r>
  <r>
    <n v="224"/>
    <s v="Liam Jackson"/>
    <s v="HR"/>
    <s v="Team Collaboration"/>
    <x v="2"/>
    <d v="2025-08-31T00:00:00"/>
    <d v="2025-10-05T00:00:00"/>
    <n v="17.2"/>
    <b v="0"/>
    <n v="68.3"/>
    <s v="Completed"/>
  </r>
  <r>
    <n v="225"/>
    <s v="Liam Jackson"/>
    <s v="HR"/>
    <s v="Health Regulations"/>
    <x v="0"/>
    <d v="2026-03-09T00:00:00"/>
    <d v="2026-03-18T00:00:00"/>
    <n v="10.3"/>
    <b v="0"/>
    <n v="92.9"/>
    <s v="Completed"/>
  </r>
  <r>
    <n v="226"/>
    <s v="Liam Jackson"/>
    <s v="HR"/>
    <s v="Excel Advanced"/>
    <x v="4"/>
    <d v="2025-11-11T00:00:00"/>
    <d v="2025-12-25T00:00:00"/>
    <n v="27.5"/>
    <b v="1"/>
    <n v="75.7"/>
    <s v="Completed"/>
  </r>
  <r>
    <n v="227"/>
    <s v="Liam Jackson"/>
    <s v="HR"/>
    <s v="SQL Basics"/>
    <x v="4"/>
    <d v="2026-03-05T00:00:00"/>
    <m/>
    <n v="10.9"/>
    <b v="0"/>
    <m/>
    <s v="Not Started"/>
  </r>
  <r>
    <n v="228"/>
    <s v="Liam Jackson"/>
    <s v="HR"/>
    <s v="Data Privacy GDPR"/>
    <x v="0"/>
    <d v="2025-08-01T00:00:00"/>
    <d v="2025-09-01T00:00:00"/>
    <n v="30.5"/>
    <b v="1"/>
    <n v="82"/>
    <s v="Completed"/>
  </r>
  <r>
    <n v="229"/>
    <s v="Liam Jackson"/>
    <s v="HR"/>
    <s v="Presentation Skills"/>
    <x v="2"/>
    <d v="2025-06-16T00:00:00"/>
    <d v="2025-07-19T00:00:00"/>
    <n v="5.8"/>
    <b v="1"/>
    <n v="79.400000000000006"/>
    <s v="Completed"/>
  </r>
  <r>
    <n v="230"/>
    <s v="Liam Jackson"/>
    <s v="HR"/>
    <s v="Anti-Corruption Policy"/>
    <x v="0"/>
    <d v="2025-05-10T00:00:00"/>
    <m/>
    <n v="33.799999999999997"/>
    <b v="0"/>
    <m/>
    <s v="Not Started"/>
  </r>
  <r>
    <n v="231"/>
    <s v="Liam Jackson"/>
    <s v="HR"/>
    <s v="Team Collaboration"/>
    <x v="2"/>
    <d v="2025-03-12T00:00:00"/>
    <d v="2025-04-01T00:00:00"/>
    <n v="22.8"/>
    <b v="1"/>
    <n v="82.6"/>
    <s v="Completed"/>
  </r>
  <r>
    <n v="232"/>
    <s v="Liam Jackson"/>
    <s v="HR"/>
    <s v="Code of Conduct"/>
    <x v="0"/>
    <d v="2026-01-15T00:00:00"/>
    <d v="2026-01-22T00:00:00"/>
    <n v="11.6"/>
    <b v="1"/>
    <n v="85.9"/>
    <s v="Completed"/>
  </r>
  <r>
    <n v="233"/>
    <s v="Liam Jackson"/>
    <s v="HR"/>
    <s v="Data Privacy GDPR"/>
    <x v="0"/>
    <d v="2026-01-13T00:00:00"/>
    <d v="2026-02-22T00:00:00"/>
    <n v="21.1"/>
    <b v="1"/>
    <n v="62.4"/>
    <s v="Completed"/>
  </r>
  <r>
    <n v="234"/>
    <s v="Liam Jackson"/>
    <s v="HR"/>
    <s v="Communication Skills"/>
    <x v="2"/>
    <d v="2025-08-02T00:00:00"/>
    <d v="2025-08-30T00:00:00"/>
    <n v="28.5"/>
    <b v="0"/>
    <n v="64"/>
    <s v="Completed"/>
  </r>
  <r>
    <n v="235"/>
    <s v="Liam Jackson"/>
    <s v="HR"/>
    <s v="Leadership Essentials"/>
    <x v="3"/>
    <d v="2025-02-17T00:00:00"/>
    <d v="2025-03-10T00:00:00"/>
    <n v="8.8000000000000007"/>
    <b v="1"/>
    <n v="72.8"/>
    <s v="Completed"/>
  </r>
  <r>
    <n v="236"/>
    <s v="Liam Jackson"/>
    <s v="HR"/>
    <s v="Conflict Resolution"/>
    <x v="2"/>
    <d v="2025-04-20T00:00:00"/>
    <d v="2025-04-27T00:00:00"/>
    <n v="13.5"/>
    <b v="1"/>
    <n v="68.2"/>
    <s v="Completed"/>
  </r>
  <r>
    <n v="237"/>
    <s v="Liam Jackson"/>
    <s v="HR"/>
    <s v="Hazard Identification"/>
    <x v="1"/>
    <d v="2025-01-15T00:00:00"/>
    <d v="2025-02-26T00:00:00"/>
    <n v="7.9"/>
    <b v="0"/>
    <n v="84.8"/>
    <s v="Completed"/>
  </r>
  <r>
    <n v="238"/>
    <s v="Liam Jackson"/>
    <s v="HR"/>
    <s v="Leadership Essentials"/>
    <x v="3"/>
    <d v="2025-03-31T00:00:00"/>
    <m/>
    <n v="33.5"/>
    <b v="0"/>
    <m/>
    <s v="Not Started"/>
  </r>
  <r>
    <n v="239"/>
    <s v="Liam Jackson"/>
    <s v="HR"/>
    <s v="Code of Conduct"/>
    <x v="0"/>
    <d v="2025-03-06T00:00:00"/>
    <d v="2025-04-19T00:00:00"/>
    <n v="18.399999999999999"/>
    <b v="1"/>
    <n v="97.9"/>
    <s v="Completed"/>
  </r>
  <r>
    <n v="240"/>
    <s v="Liam Jackson"/>
    <s v="HR"/>
    <s v="Power BI Fundamentals"/>
    <x v="4"/>
    <d v="2026-02-17T00:00:00"/>
    <d v="2026-03-26T00:00:00"/>
    <n v="39.200000000000003"/>
    <b v="1"/>
    <n v="79.7"/>
    <s v="Completed"/>
  </r>
  <r>
    <n v="241"/>
    <s v="Liam Jackson"/>
    <s v="HR"/>
    <s v="Presentation Skills"/>
    <x v="2"/>
    <d v="2026-03-07T00:00:00"/>
    <d v="2026-03-27T00:00:00"/>
    <n v="25.1"/>
    <b v="0"/>
    <n v="72.8"/>
    <s v="Completed"/>
  </r>
  <r>
    <n v="242"/>
    <s v="Maria Harris"/>
    <s v="IT"/>
    <s v="SQL Basics"/>
    <x v="4"/>
    <d v="2025-02-16T00:00:00"/>
    <m/>
    <n v="16.899999999999999"/>
    <b v="0"/>
    <m/>
    <s v="In Progress"/>
  </r>
  <r>
    <n v="243"/>
    <s v="Maria Harris"/>
    <s v="IT"/>
    <s v="First Aid"/>
    <x v="1"/>
    <d v="2025-07-03T00:00:00"/>
    <m/>
    <n v="37.4"/>
    <b v="0"/>
    <m/>
    <s v="In Progress"/>
  </r>
  <r>
    <n v="244"/>
    <s v="Maria Harris"/>
    <s v="IT"/>
    <s v="Strategic Thinking"/>
    <x v="3"/>
    <d v="2026-02-24T00:00:00"/>
    <d v="2026-03-30T00:00:00"/>
    <n v="20.2"/>
    <b v="1"/>
    <n v="78.5"/>
    <s v="Completed"/>
  </r>
  <r>
    <n v="245"/>
    <s v="Maria Harris"/>
    <s v="IT"/>
    <s v="Conflict Resolution"/>
    <x v="2"/>
    <d v="2025-10-24T00:00:00"/>
    <d v="2025-11-12T00:00:00"/>
    <n v="16.399999999999999"/>
    <b v="1"/>
    <n v="63.8"/>
    <s v="Completed"/>
  </r>
  <r>
    <n v="246"/>
    <s v="Maria Harris"/>
    <s v="IT"/>
    <s v="Change Management"/>
    <x v="3"/>
    <d v="2025-03-16T00:00:00"/>
    <d v="2025-04-10T00:00:00"/>
    <n v="11.7"/>
    <b v="1"/>
    <n v="90.2"/>
    <s v="Completed"/>
  </r>
  <r>
    <n v="247"/>
    <s v="Maria Harris"/>
    <s v="IT"/>
    <s v="Code of Conduct"/>
    <x v="0"/>
    <d v="2025-04-26T00:00:00"/>
    <m/>
    <n v="25.5"/>
    <b v="0"/>
    <n v="31.5"/>
    <s v="Failed"/>
  </r>
  <r>
    <n v="248"/>
    <s v="Maria Harris"/>
    <s v="IT"/>
    <s v="First Aid"/>
    <x v="1"/>
    <d v="2026-03-02T00:00:00"/>
    <m/>
    <n v="24.8"/>
    <b v="0"/>
    <n v="31.1"/>
    <s v="Failed"/>
  </r>
  <r>
    <n v="249"/>
    <s v="Maria Harris"/>
    <s v="IT"/>
    <s v="Presentation Skills"/>
    <x v="2"/>
    <d v="2025-11-03T00:00:00"/>
    <d v="2025-12-14T00:00:00"/>
    <n v="30.8"/>
    <b v="1"/>
    <n v="79.900000000000006"/>
    <s v="Completed"/>
  </r>
  <r>
    <n v="250"/>
    <s v="Maria Harris"/>
    <s v="IT"/>
    <s v="Leadership Essentials"/>
    <x v="3"/>
    <d v="2025-07-29T00:00:00"/>
    <m/>
    <n v="15.9"/>
    <b v="0"/>
    <m/>
    <s v="Not Started"/>
  </r>
  <r>
    <n v="251"/>
    <s v="Maria Harris"/>
    <s v="IT"/>
    <s v="SQL Basics"/>
    <x v="4"/>
    <d v="2026-01-31T00:00:00"/>
    <m/>
    <n v="13.7"/>
    <b v="0"/>
    <m/>
    <s v="In Progress"/>
  </r>
  <r>
    <n v="252"/>
    <s v="Maria Harris"/>
    <s v="IT"/>
    <s v="Team Collaboration"/>
    <x v="2"/>
    <d v="2025-03-14T00:00:00"/>
    <d v="2025-04-05T00:00:00"/>
    <n v="23.3"/>
    <b v="1"/>
    <n v="98.5"/>
    <s v="Completed"/>
  </r>
  <r>
    <n v="253"/>
    <s v="Maria Harris"/>
    <s v="IT"/>
    <s v="Health Regulations"/>
    <x v="0"/>
    <d v="2026-01-21T00:00:00"/>
    <m/>
    <n v="35.6"/>
    <b v="0"/>
    <m/>
    <s v="In Progress"/>
  </r>
  <r>
    <n v="254"/>
    <s v="Maria Harris"/>
    <s v="IT"/>
    <s v="Power BI Fundamentals"/>
    <x v="4"/>
    <d v="2025-06-18T00:00:00"/>
    <m/>
    <n v="21.3"/>
    <b v="0"/>
    <m/>
    <s v="Not Started"/>
  </r>
  <r>
    <n v="255"/>
    <s v="Maria Harris"/>
    <s v="IT"/>
    <s v="Python for Analysts"/>
    <x v="4"/>
    <d v="2025-09-11T00:00:00"/>
    <m/>
    <n v="19.3"/>
    <b v="0"/>
    <m/>
    <s v="In Progress"/>
  </r>
  <r>
    <n v="256"/>
    <s v="Maria Harris"/>
    <s v="IT"/>
    <s v="Hazard Identification"/>
    <x v="1"/>
    <d v="2025-06-16T00:00:00"/>
    <d v="2025-06-26T00:00:00"/>
    <n v="32.6"/>
    <b v="1"/>
    <n v="71.400000000000006"/>
    <s v="Completed"/>
  </r>
  <r>
    <n v="257"/>
    <s v="Maria Harris"/>
    <s v="IT"/>
    <s v="Coaching Skills"/>
    <x v="3"/>
    <d v="2025-05-17T00:00:00"/>
    <d v="2025-06-20T00:00:00"/>
    <n v="22.7"/>
    <b v="1"/>
    <n v="87.6"/>
    <s v="Completed"/>
  </r>
  <r>
    <n v="258"/>
    <s v="Maria Harris"/>
    <s v="IT"/>
    <s v="First Aid"/>
    <x v="1"/>
    <d v="2025-03-15T00:00:00"/>
    <d v="2025-04-14T00:00:00"/>
    <n v="26.3"/>
    <b v="0"/>
    <n v="78.5"/>
    <s v="Completed"/>
  </r>
  <r>
    <n v="259"/>
    <s v="Maria Harris"/>
    <s v="IT"/>
    <s v="Health Regulations"/>
    <x v="0"/>
    <d v="2025-08-24T00:00:00"/>
    <d v="2025-10-05T00:00:00"/>
    <n v="10.8"/>
    <b v="1"/>
    <n v="63.9"/>
    <s v="Completed"/>
  </r>
  <r>
    <n v="260"/>
    <s v="Maria Harris"/>
    <s v="IT"/>
    <s v="Team Collaboration"/>
    <x v="2"/>
    <d v="2026-03-03T00:00:00"/>
    <m/>
    <n v="39.1"/>
    <b v="0"/>
    <m/>
    <s v="Not Started"/>
  </r>
  <r>
    <n v="261"/>
    <s v="Nathan Clark"/>
    <s v="Operations"/>
    <s v="Communication Skills"/>
    <x v="2"/>
    <d v="2025-09-20T00:00:00"/>
    <m/>
    <n v="26.8"/>
    <b v="0"/>
    <m/>
    <s v="Not Started"/>
  </r>
  <r>
    <n v="262"/>
    <s v="Nathan Clark"/>
    <s v="Operations"/>
    <s v="Conflict Resolution"/>
    <x v="2"/>
    <d v="2025-03-02T00:00:00"/>
    <d v="2025-03-24T00:00:00"/>
    <n v="23.2"/>
    <b v="1"/>
    <n v="98.3"/>
    <s v="Completed"/>
  </r>
  <r>
    <n v="263"/>
    <s v="Nathan Clark"/>
    <s v="Operations"/>
    <s v="Data Privacy GDPR"/>
    <x v="0"/>
    <d v="2025-04-02T00:00:00"/>
    <d v="2025-05-05T00:00:00"/>
    <n v="36.5"/>
    <b v="0"/>
    <n v="97.4"/>
    <s v="Completed"/>
  </r>
  <r>
    <n v="264"/>
    <s v="Nathan Clark"/>
    <s v="Operations"/>
    <s v="Health Regulations"/>
    <x v="0"/>
    <d v="2026-02-15T00:00:00"/>
    <d v="2026-02-24T00:00:00"/>
    <n v="34"/>
    <b v="0"/>
    <n v="81.400000000000006"/>
    <s v="Completed"/>
  </r>
  <r>
    <n v="265"/>
    <s v="Nathan Clark"/>
    <s v="Operations"/>
    <s v="SQL Basics"/>
    <x v="4"/>
    <d v="2026-01-28T00:00:00"/>
    <d v="2026-02-24T00:00:00"/>
    <n v="20"/>
    <b v="0"/>
    <n v="98.8"/>
    <s v="Completed"/>
  </r>
  <r>
    <n v="266"/>
    <s v="Nathan Clark"/>
    <s v="Operations"/>
    <s v="Conflict Resolution"/>
    <x v="2"/>
    <d v="2025-12-23T00:00:00"/>
    <d v="2026-01-04T00:00:00"/>
    <n v="38.700000000000003"/>
    <b v="0"/>
    <n v="94.7"/>
    <s v="Completed"/>
  </r>
  <r>
    <n v="267"/>
    <s v="Nathan Clark"/>
    <s v="Operations"/>
    <s v="Power BI Fundamentals"/>
    <x v="4"/>
    <d v="2025-09-01T00:00:00"/>
    <m/>
    <n v="34.299999999999997"/>
    <b v="0"/>
    <n v="33.700000000000003"/>
    <s v="Failed"/>
  </r>
  <r>
    <n v="268"/>
    <s v="Nathan Clark"/>
    <s v="Operations"/>
    <s v="Hazard Identification"/>
    <x v="1"/>
    <d v="2025-05-16T00:00:00"/>
    <d v="2025-06-11T00:00:00"/>
    <n v="36.4"/>
    <b v="1"/>
    <n v="88.2"/>
    <s v="Completed"/>
  </r>
  <r>
    <n v="269"/>
    <s v="Nathan Clark"/>
    <s v="Operations"/>
    <s v="Anti-Corruption Policy"/>
    <x v="0"/>
    <d v="2025-07-25T00:00:00"/>
    <d v="2025-08-17T00:00:00"/>
    <n v="17"/>
    <b v="1"/>
    <n v="63.6"/>
    <s v="Completed"/>
  </r>
  <r>
    <n v="270"/>
    <s v="Nathan Clark"/>
    <s v="Operations"/>
    <s v="Data Privacy GDPR"/>
    <x v="0"/>
    <d v="2025-09-13T00:00:00"/>
    <d v="2025-10-19T00:00:00"/>
    <n v="37.5"/>
    <b v="1"/>
    <n v="61.4"/>
    <s v="Completed"/>
  </r>
  <r>
    <n v="271"/>
    <s v="Nathan Clark"/>
    <s v="Operations"/>
    <s v="Communication Skills"/>
    <x v="2"/>
    <d v="2026-01-23T00:00:00"/>
    <m/>
    <n v="11.9"/>
    <b v="0"/>
    <n v="57.1"/>
    <s v="Failed"/>
  </r>
  <r>
    <n v="272"/>
    <s v="Nathan Clark"/>
    <s v="Operations"/>
    <s v="Hazard Identification"/>
    <x v="1"/>
    <d v="2025-01-19T00:00:00"/>
    <d v="2025-02-02T00:00:00"/>
    <n v="9.5"/>
    <b v="0"/>
    <n v="67.8"/>
    <s v="Completed"/>
  </r>
  <r>
    <n v="273"/>
    <s v="Nathan Clark"/>
    <s v="Operations"/>
    <s v="Power BI Fundamentals"/>
    <x v="4"/>
    <d v="2025-06-13T00:00:00"/>
    <d v="2025-07-24T00:00:00"/>
    <n v="26.5"/>
    <b v="0"/>
    <n v="92"/>
    <s v="Completed"/>
  </r>
  <r>
    <n v="274"/>
    <s v="Nathan Clark"/>
    <s v="Operations"/>
    <s v="First Aid"/>
    <x v="1"/>
    <d v="2025-10-21T00:00:00"/>
    <m/>
    <n v="16.5"/>
    <b v="0"/>
    <n v="36.6"/>
    <s v="Failed"/>
  </r>
  <r>
    <n v="275"/>
    <s v="Nathan Clark"/>
    <s v="Operations"/>
    <s v="Change Management"/>
    <x v="3"/>
    <d v="2025-10-07T00:00:00"/>
    <d v="2025-11-18T00:00:00"/>
    <n v="31.7"/>
    <b v="1"/>
    <n v="67.3"/>
    <s v="Completed"/>
  </r>
  <r>
    <n v="276"/>
    <s v="Nathan Clark"/>
    <s v="Operations"/>
    <s v="Anti-Corruption Policy"/>
    <x v="0"/>
    <d v="2025-03-25T00:00:00"/>
    <m/>
    <n v="19.7"/>
    <b v="0"/>
    <m/>
    <s v="In Progress"/>
  </r>
  <r>
    <n v="277"/>
    <s v="Nathan Clark"/>
    <s v="Operations"/>
    <s v="Fire Safety"/>
    <x v="1"/>
    <d v="2025-12-12T00:00:00"/>
    <d v="2026-01-14T00:00:00"/>
    <n v="37.700000000000003"/>
    <b v="0"/>
    <n v="64.3"/>
    <s v="Completed"/>
  </r>
  <r>
    <n v="278"/>
    <s v="Nathan Clark"/>
    <s v="Operations"/>
    <s v="Change Management"/>
    <x v="3"/>
    <d v="2025-08-27T00:00:00"/>
    <d v="2025-09-21T00:00:00"/>
    <n v="19.7"/>
    <b v="1"/>
    <n v="79.5"/>
    <s v="Completed"/>
  </r>
  <r>
    <n v="279"/>
    <s v="Nathan Clark"/>
    <s v="Operations"/>
    <s v="Change Management"/>
    <x v="3"/>
    <d v="2026-02-19T00:00:00"/>
    <d v="2026-03-12T00:00:00"/>
    <n v="25.3"/>
    <b v="0"/>
    <n v="85.5"/>
    <s v="Completed"/>
  </r>
  <r>
    <n v="280"/>
    <s v="Nathan Clark"/>
    <s v="Operations"/>
    <s v="Data Privacy GDPR"/>
    <x v="0"/>
    <d v="2025-09-27T00:00:00"/>
    <d v="2025-11-10T00:00:00"/>
    <n v="36.299999999999997"/>
    <b v="1"/>
    <n v="62.4"/>
    <s v="Completed"/>
  </r>
  <r>
    <n v="281"/>
    <s v="Olivia Lewis"/>
    <s v="Sales"/>
    <s v="First Aid"/>
    <x v="1"/>
    <d v="2025-10-19T00:00:00"/>
    <d v="2025-11-22T00:00:00"/>
    <n v="27"/>
    <b v="1"/>
    <n v="85.2"/>
    <s v="Completed"/>
  </r>
  <r>
    <n v="282"/>
    <s v="Olivia Lewis"/>
    <s v="Sales"/>
    <s v="Anti-Corruption Policy"/>
    <x v="0"/>
    <d v="2025-06-06T00:00:00"/>
    <m/>
    <n v="38.6"/>
    <b v="0"/>
    <m/>
    <s v="In Progress"/>
  </r>
  <r>
    <n v="283"/>
    <s v="Olivia Lewis"/>
    <s v="Sales"/>
    <s v="Code of Conduct"/>
    <x v="0"/>
    <d v="2025-06-16T00:00:00"/>
    <m/>
    <n v="22.2"/>
    <b v="0"/>
    <m/>
    <s v="Not Started"/>
  </r>
  <r>
    <n v="284"/>
    <s v="Olivia Lewis"/>
    <s v="Sales"/>
    <s v="Leadership Essentials"/>
    <x v="3"/>
    <d v="2025-11-28T00:00:00"/>
    <d v="2025-12-22T00:00:00"/>
    <n v="30.8"/>
    <b v="0"/>
    <n v="67.900000000000006"/>
    <s v="Completed"/>
  </r>
  <r>
    <n v="285"/>
    <s v="Olivia Lewis"/>
    <s v="Sales"/>
    <s v="Change Management"/>
    <x v="3"/>
    <d v="2025-10-10T00:00:00"/>
    <m/>
    <n v="13.8"/>
    <b v="0"/>
    <m/>
    <s v="Not Started"/>
  </r>
  <r>
    <n v="286"/>
    <s v="Olivia Lewis"/>
    <s v="Sales"/>
    <s v="Code of Conduct"/>
    <x v="0"/>
    <d v="2025-02-19T00:00:00"/>
    <d v="2025-02-27T00:00:00"/>
    <n v="11.1"/>
    <b v="1"/>
    <n v="81.2"/>
    <s v="Completed"/>
  </r>
  <r>
    <n v="287"/>
    <s v="Olivia Lewis"/>
    <s v="Sales"/>
    <s v="Fire Safety"/>
    <x v="1"/>
    <d v="2026-02-02T00:00:00"/>
    <m/>
    <n v="10.3"/>
    <b v="0"/>
    <m/>
    <s v="In Progress"/>
  </r>
  <r>
    <n v="288"/>
    <s v="Olivia Lewis"/>
    <s v="Sales"/>
    <s v="Health Regulations"/>
    <x v="0"/>
    <d v="2025-06-10T00:00:00"/>
    <d v="2025-07-16T00:00:00"/>
    <n v="13.8"/>
    <b v="1"/>
    <n v="65.099999999999994"/>
    <s v="Completed"/>
  </r>
  <r>
    <n v="289"/>
    <s v="Olivia Lewis"/>
    <s v="Sales"/>
    <s v="Coaching Skills"/>
    <x v="3"/>
    <d v="2025-09-05T00:00:00"/>
    <d v="2025-10-13T00:00:00"/>
    <n v="21.3"/>
    <b v="1"/>
    <n v="89.9"/>
    <s v="Completed"/>
  </r>
  <r>
    <n v="290"/>
    <s v="Olivia Lewis"/>
    <s v="Sales"/>
    <s v="Data Privacy GDPR"/>
    <x v="0"/>
    <d v="2026-01-02T00:00:00"/>
    <m/>
    <n v="12.7"/>
    <b v="0"/>
    <m/>
    <s v="Not Started"/>
  </r>
  <r>
    <n v="291"/>
    <s v="Olivia Lewis"/>
    <s v="Sales"/>
    <s v="Change Management"/>
    <x v="3"/>
    <d v="2025-06-12T00:00:00"/>
    <d v="2025-06-24T00:00:00"/>
    <n v="18.100000000000001"/>
    <b v="0"/>
    <n v="90.1"/>
    <s v="Completed"/>
  </r>
  <r>
    <n v="292"/>
    <s v="Olivia Lewis"/>
    <s v="Sales"/>
    <s v="Python for Analysts"/>
    <x v="4"/>
    <d v="2025-05-22T00:00:00"/>
    <d v="2025-06-03T00:00:00"/>
    <n v="19.8"/>
    <b v="1"/>
    <n v="74.8"/>
    <s v="Completed"/>
  </r>
  <r>
    <n v="293"/>
    <s v="Olivia Lewis"/>
    <s v="Sales"/>
    <s v="Presentation Skills"/>
    <x v="2"/>
    <d v="2025-04-17T00:00:00"/>
    <m/>
    <n v="21.9"/>
    <b v="0"/>
    <n v="55.1"/>
    <s v="Failed"/>
  </r>
  <r>
    <n v="294"/>
    <s v="Olivia Lewis"/>
    <s v="Sales"/>
    <s v="Code of Conduct"/>
    <x v="0"/>
    <d v="2026-03-26T00:00:00"/>
    <m/>
    <n v="36.700000000000003"/>
    <b v="0"/>
    <m/>
    <s v="Not Started"/>
  </r>
  <r>
    <n v="295"/>
    <s v="Olivia Lewis"/>
    <s v="Sales"/>
    <s v="Code of Conduct"/>
    <x v="0"/>
    <d v="2025-12-23T00:00:00"/>
    <d v="2026-01-11T00:00:00"/>
    <n v="4.5999999999999996"/>
    <b v="1"/>
    <n v="79.8"/>
    <s v="Completed"/>
  </r>
  <r>
    <n v="296"/>
    <s v="Olivia Lewis"/>
    <s v="Sales"/>
    <s v="Change Management"/>
    <x v="3"/>
    <d v="2025-07-03T00:00:00"/>
    <m/>
    <n v="34.1"/>
    <b v="0"/>
    <m/>
    <s v="In Progress"/>
  </r>
  <r>
    <n v="297"/>
    <s v="Olivia Lewis"/>
    <s v="Sales"/>
    <s v="Strategic Thinking"/>
    <x v="3"/>
    <d v="2025-02-18T00:00:00"/>
    <m/>
    <n v="34.5"/>
    <b v="0"/>
    <m/>
    <s v="Not Started"/>
  </r>
  <r>
    <n v="298"/>
    <s v="Olivia Lewis"/>
    <s v="Sales"/>
    <s v="Presentation Skills"/>
    <x v="2"/>
    <d v="2026-03-24T00:00:00"/>
    <m/>
    <n v="15.3"/>
    <b v="0"/>
    <m/>
    <s v="Not Started"/>
  </r>
  <r>
    <n v="299"/>
    <s v="Olivia Lewis"/>
    <s v="Sales"/>
    <s v="Fire Safety"/>
    <x v="1"/>
    <d v="2025-06-30T00:00:00"/>
    <m/>
    <n v="37.799999999999997"/>
    <b v="0"/>
    <m/>
    <s v="In Progress"/>
  </r>
  <r>
    <n v="300"/>
    <s v="Olivia Lewis"/>
    <s v="Sales"/>
    <s v="Conflict Resolution"/>
    <x v="2"/>
    <d v="2025-06-05T00:00:00"/>
    <d v="2025-07-19T00:00:00"/>
    <n v="10.1"/>
    <b v="0"/>
    <n v="62.3"/>
    <s v="Completed"/>
  </r>
  <r>
    <n v="301"/>
    <s v="Olivia Lewis"/>
    <s v="Sales"/>
    <s v="Coaching Skills"/>
    <x v="3"/>
    <d v="2026-03-04T00:00:00"/>
    <m/>
    <n v="28.5"/>
    <b v="0"/>
    <m/>
    <s v="Not Started"/>
  </r>
  <r>
    <n v="302"/>
    <s v="Olivia Lewis"/>
    <s v="Sales"/>
    <s v="Coaching Skills"/>
    <x v="3"/>
    <d v="2025-03-28T00:00:00"/>
    <m/>
    <n v="13.5"/>
    <b v="0"/>
    <m/>
    <s v="Not Started"/>
  </r>
  <r>
    <n v="303"/>
    <s v="Peter Robinson"/>
    <s v="Finance"/>
    <s v="Hazard Identification"/>
    <x v="1"/>
    <d v="2025-12-13T00:00:00"/>
    <m/>
    <n v="33.299999999999997"/>
    <b v="0"/>
    <m/>
    <s v="In Progress"/>
  </r>
  <r>
    <n v="304"/>
    <s v="Peter Robinson"/>
    <s v="Finance"/>
    <s v="Leadership Essentials"/>
    <x v="3"/>
    <d v="2026-03-09T00:00:00"/>
    <m/>
    <n v="13.5"/>
    <b v="0"/>
    <n v="42.5"/>
    <s v="Failed"/>
  </r>
  <r>
    <n v="305"/>
    <s v="Peter Robinson"/>
    <s v="Finance"/>
    <s v="Anti-Corruption Policy"/>
    <x v="0"/>
    <d v="2025-12-16T00:00:00"/>
    <m/>
    <n v="17.600000000000001"/>
    <b v="0"/>
    <m/>
    <s v="Not Started"/>
  </r>
  <r>
    <n v="306"/>
    <s v="Peter Robinson"/>
    <s v="Finance"/>
    <s v="Health Regulations"/>
    <x v="0"/>
    <d v="2026-01-14T00:00:00"/>
    <d v="2026-01-27T00:00:00"/>
    <n v="24.6"/>
    <b v="1"/>
    <n v="61.5"/>
    <s v="Completed"/>
  </r>
  <r>
    <n v="307"/>
    <s v="Peter Robinson"/>
    <s v="Finance"/>
    <s v="Communication Skills"/>
    <x v="2"/>
    <d v="2026-02-08T00:00:00"/>
    <m/>
    <n v="7.2"/>
    <b v="0"/>
    <m/>
    <s v="Not Started"/>
  </r>
  <r>
    <n v="308"/>
    <s v="Peter Robinson"/>
    <s v="Finance"/>
    <s v="Excel Advanced"/>
    <x v="4"/>
    <d v="2025-06-02T00:00:00"/>
    <d v="2025-07-06T00:00:00"/>
    <n v="10.8"/>
    <b v="0"/>
    <n v="76.400000000000006"/>
    <s v="Completed"/>
  </r>
  <r>
    <n v="309"/>
    <s v="Peter Robinson"/>
    <s v="Finance"/>
    <s v="Change Management"/>
    <x v="3"/>
    <d v="2025-11-30T00:00:00"/>
    <m/>
    <n v="28.9"/>
    <b v="0"/>
    <m/>
    <s v="In Progress"/>
  </r>
  <r>
    <n v="310"/>
    <s v="Peter Robinson"/>
    <s v="Finance"/>
    <s v="SQL Basics"/>
    <x v="4"/>
    <d v="2025-03-16T00:00:00"/>
    <d v="2025-04-06T00:00:00"/>
    <n v="37.200000000000003"/>
    <b v="0"/>
    <n v="89.2"/>
    <s v="Completed"/>
  </r>
  <r>
    <n v="311"/>
    <s v="Peter Robinson"/>
    <s v="Finance"/>
    <s v="SQL Basics"/>
    <x v="4"/>
    <d v="2026-03-13T00:00:00"/>
    <d v="2026-03-21T00:00:00"/>
    <n v="11.2"/>
    <b v="0"/>
    <n v="78.599999999999994"/>
    <s v="Completed"/>
  </r>
  <r>
    <n v="312"/>
    <s v="Peter Robinson"/>
    <s v="Finance"/>
    <s v="Conflict Resolution"/>
    <x v="2"/>
    <d v="2025-03-28T00:00:00"/>
    <m/>
    <n v="32.9"/>
    <b v="0"/>
    <n v="37.9"/>
    <s v="Failed"/>
  </r>
  <r>
    <n v="313"/>
    <s v="Peter Robinson"/>
    <s v="Finance"/>
    <s v="Excel Advanced"/>
    <x v="4"/>
    <d v="2025-05-05T00:00:00"/>
    <m/>
    <n v="18.5"/>
    <b v="0"/>
    <n v="54.6"/>
    <s v="Failed"/>
  </r>
  <r>
    <n v="314"/>
    <s v="Peter Robinson"/>
    <s v="Finance"/>
    <s v="Anti-Corruption Policy"/>
    <x v="0"/>
    <d v="2025-04-26T00:00:00"/>
    <d v="2025-05-02T00:00:00"/>
    <n v="27"/>
    <b v="1"/>
    <n v="68.400000000000006"/>
    <s v="Completed"/>
  </r>
  <r>
    <n v="315"/>
    <s v="Peter Robinson"/>
    <s v="Finance"/>
    <s v="Presentation Skills"/>
    <x v="2"/>
    <d v="2025-10-04T00:00:00"/>
    <m/>
    <n v="12.2"/>
    <b v="0"/>
    <m/>
    <s v="Not Started"/>
  </r>
  <r>
    <n v="316"/>
    <s v="Peter Robinson"/>
    <s v="Finance"/>
    <s v="Leadership Essentials"/>
    <x v="3"/>
    <d v="2026-01-22T00:00:00"/>
    <d v="2026-03-02T00:00:00"/>
    <n v="26.3"/>
    <b v="1"/>
    <n v="65.099999999999994"/>
    <s v="Completed"/>
  </r>
  <r>
    <n v="317"/>
    <s v="Peter Robinson"/>
    <s v="Finance"/>
    <s v="SQL Basics"/>
    <x v="4"/>
    <d v="2025-03-13T00:00:00"/>
    <m/>
    <n v="19.899999999999999"/>
    <b v="0"/>
    <m/>
    <s v="In Progress"/>
  </r>
  <r>
    <n v="318"/>
    <s v="Peter Robinson"/>
    <s v="Finance"/>
    <s v="SQL Basics"/>
    <x v="4"/>
    <d v="2025-03-26T00:00:00"/>
    <m/>
    <n v="33.5"/>
    <b v="0"/>
    <m/>
    <s v="In Progress"/>
  </r>
  <r>
    <n v="319"/>
    <s v="Peter Robinson"/>
    <s v="Finance"/>
    <s v="Power BI Fundamentals"/>
    <x v="4"/>
    <d v="2025-10-07T00:00:00"/>
    <d v="2025-10-23T00:00:00"/>
    <n v="12.6"/>
    <b v="1"/>
    <n v="80.2"/>
    <s v="Completed"/>
  </r>
  <r>
    <n v="320"/>
    <s v="Peter Robinson"/>
    <s v="Finance"/>
    <s v="Coaching Skills"/>
    <x v="3"/>
    <d v="2026-01-21T00:00:00"/>
    <m/>
    <n v="36.9"/>
    <b v="0"/>
    <m/>
    <s v="Not Started"/>
  </r>
  <r>
    <n v="321"/>
    <s v="Peter Robinson"/>
    <s v="Finance"/>
    <s v="Data Privacy GDPR"/>
    <x v="0"/>
    <d v="2025-12-15T00:00:00"/>
    <m/>
    <n v="22.8"/>
    <b v="0"/>
    <m/>
    <s v="In Progress"/>
  </r>
  <r>
    <n v="322"/>
    <s v="Quinn Walker"/>
    <s v="HR"/>
    <s v="Excel Advanced"/>
    <x v="4"/>
    <d v="2025-12-24T00:00:00"/>
    <m/>
    <n v="37"/>
    <b v="0"/>
    <m/>
    <s v="In Progress"/>
  </r>
  <r>
    <n v="323"/>
    <s v="Quinn Walker"/>
    <s v="HR"/>
    <s v="Fire Safety"/>
    <x v="1"/>
    <d v="2026-03-19T00:00:00"/>
    <m/>
    <n v="21.1"/>
    <b v="0"/>
    <m/>
    <s v="In Progress"/>
  </r>
  <r>
    <n v="324"/>
    <s v="Quinn Walker"/>
    <s v="HR"/>
    <s v="Communication Skills"/>
    <x v="2"/>
    <d v="2026-03-20T00:00:00"/>
    <d v="2026-04-02T00:00:00"/>
    <n v="35.5"/>
    <b v="1"/>
    <n v="91.5"/>
    <s v="Completed"/>
  </r>
  <r>
    <n v="325"/>
    <s v="Quinn Walker"/>
    <s v="HR"/>
    <s v="Power BI Fundamentals"/>
    <x v="4"/>
    <d v="2025-06-22T00:00:00"/>
    <m/>
    <n v="14.8"/>
    <b v="0"/>
    <m/>
    <s v="Not Started"/>
  </r>
  <r>
    <n v="326"/>
    <s v="Quinn Walker"/>
    <s v="HR"/>
    <s v="Fire Safety"/>
    <x v="1"/>
    <d v="2025-12-13T00:00:00"/>
    <m/>
    <n v="27.7"/>
    <b v="0"/>
    <m/>
    <s v="In Progress"/>
  </r>
  <r>
    <n v="327"/>
    <s v="Quinn Walker"/>
    <s v="HR"/>
    <s v="Presentation Skills"/>
    <x v="2"/>
    <d v="2026-01-09T00:00:00"/>
    <d v="2026-02-20T00:00:00"/>
    <n v="29.6"/>
    <b v="1"/>
    <n v="79.8"/>
    <s v="Completed"/>
  </r>
  <r>
    <n v="328"/>
    <s v="Quinn Walker"/>
    <s v="HR"/>
    <s v="Excel Advanced"/>
    <x v="4"/>
    <d v="2025-01-25T00:00:00"/>
    <m/>
    <n v="5.0999999999999996"/>
    <b v="0"/>
    <m/>
    <s v="Not Started"/>
  </r>
  <r>
    <n v="329"/>
    <s v="Quinn Walker"/>
    <s v="HR"/>
    <s v="Presentation Skills"/>
    <x v="2"/>
    <d v="2025-06-28T00:00:00"/>
    <d v="2025-07-19T00:00:00"/>
    <n v="31"/>
    <b v="1"/>
    <n v="94.7"/>
    <s v="Completed"/>
  </r>
  <r>
    <n v="330"/>
    <s v="Quinn Walker"/>
    <s v="HR"/>
    <s v="Fire Safety"/>
    <x v="1"/>
    <d v="2025-12-02T00:00:00"/>
    <d v="2026-01-05T00:00:00"/>
    <n v="23.1"/>
    <b v="1"/>
    <n v="69.8"/>
    <s v="Completed"/>
  </r>
  <r>
    <n v="331"/>
    <s v="Quinn Walker"/>
    <s v="HR"/>
    <s v="Hazard Identification"/>
    <x v="1"/>
    <d v="2025-04-14T00:00:00"/>
    <m/>
    <n v="29.6"/>
    <b v="0"/>
    <n v="51.6"/>
    <s v="Failed"/>
  </r>
  <r>
    <n v="332"/>
    <s v="Quinn Walker"/>
    <s v="HR"/>
    <s v="SQL Basics"/>
    <x v="4"/>
    <d v="2025-08-28T00:00:00"/>
    <d v="2025-09-06T00:00:00"/>
    <n v="27.1"/>
    <b v="0"/>
    <n v="95.5"/>
    <s v="Completed"/>
  </r>
  <r>
    <n v="333"/>
    <s v="Quinn Walker"/>
    <s v="HR"/>
    <s v="Strategic Thinking"/>
    <x v="3"/>
    <d v="2026-01-01T00:00:00"/>
    <m/>
    <n v="9.1"/>
    <b v="0"/>
    <m/>
    <s v="In Progress"/>
  </r>
  <r>
    <n v="334"/>
    <s v="Quinn Walker"/>
    <s v="HR"/>
    <s v="Conflict Resolution"/>
    <x v="2"/>
    <d v="2026-03-14T00:00:00"/>
    <m/>
    <n v="16"/>
    <b v="0"/>
    <n v="36.1"/>
    <s v="Failed"/>
  </r>
  <r>
    <n v="335"/>
    <s v="Quinn Walker"/>
    <s v="HR"/>
    <s v="Fire Safety"/>
    <x v="1"/>
    <d v="2025-02-10T00:00:00"/>
    <d v="2025-02-22T00:00:00"/>
    <n v="39.6"/>
    <b v="0"/>
    <n v="65.3"/>
    <s v="Completed"/>
  </r>
  <r>
    <n v="336"/>
    <s v="Quinn Walker"/>
    <s v="HR"/>
    <s v="Power BI Fundamentals"/>
    <x v="4"/>
    <d v="2026-01-08T00:00:00"/>
    <m/>
    <n v="26.7"/>
    <b v="0"/>
    <m/>
    <s v="Not Started"/>
  </r>
  <r>
    <n v="337"/>
    <s v="Quinn Walker"/>
    <s v="HR"/>
    <s v="Change Management"/>
    <x v="3"/>
    <d v="2026-02-01T00:00:00"/>
    <d v="2026-02-18T00:00:00"/>
    <n v="29.7"/>
    <b v="1"/>
    <n v="73.8"/>
    <s v="Completed"/>
  </r>
  <r>
    <n v="338"/>
    <s v="Quinn Walker"/>
    <s v="HR"/>
    <s v="Data Privacy GDPR"/>
    <x v="0"/>
    <d v="2025-07-30T00:00:00"/>
    <m/>
    <n v="13.4"/>
    <b v="0"/>
    <m/>
    <s v="Not Started"/>
  </r>
  <r>
    <n v="339"/>
    <s v="Quinn Walker"/>
    <s v="HR"/>
    <s v="Excel Advanced"/>
    <x v="4"/>
    <d v="2025-03-11T00:00:00"/>
    <m/>
    <n v="15.9"/>
    <b v="0"/>
    <m/>
    <s v="Not Started"/>
  </r>
  <r>
    <n v="340"/>
    <s v="Quinn Walker"/>
    <s v="HR"/>
    <s v="Presentation Skills"/>
    <x v="2"/>
    <d v="2025-11-05T00:00:00"/>
    <d v="2025-12-05T00:00:00"/>
    <n v="31.5"/>
    <b v="1"/>
    <n v="68.7"/>
    <s v="Completed"/>
  </r>
  <r>
    <n v="341"/>
    <s v="Quinn Walker"/>
    <s v="HR"/>
    <s v="Workplace Ergonomics"/>
    <x v="1"/>
    <d v="2025-11-07T00:00:00"/>
    <d v="2025-12-08T00:00:00"/>
    <n v="24.5"/>
    <b v="1"/>
    <n v="82.2"/>
    <s v="Completed"/>
  </r>
  <r>
    <n v="342"/>
    <s v="Quinn Walker"/>
    <s v="HR"/>
    <s v="Workplace Ergonomics"/>
    <x v="1"/>
    <d v="2025-10-07T00:00:00"/>
    <m/>
    <n v="8.9"/>
    <b v="0"/>
    <m/>
    <s v="In Progress"/>
  </r>
  <r>
    <n v="343"/>
    <s v="Quinn Walker"/>
    <s v="HR"/>
    <s v="Anti-Corruption Policy"/>
    <x v="0"/>
    <d v="2025-11-09T00:00:00"/>
    <m/>
    <n v="6.7"/>
    <b v="0"/>
    <m/>
    <s v="In Progress"/>
  </r>
  <r>
    <n v="344"/>
    <s v="Rachel Hall"/>
    <s v="IT"/>
    <s v="Anti-Corruption Policy"/>
    <x v="0"/>
    <d v="2025-01-24T00:00:00"/>
    <d v="2025-02-14T00:00:00"/>
    <n v="12"/>
    <b v="1"/>
    <n v="89.7"/>
    <s v="Completed"/>
  </r>
  <r>
    <n v="345"/>
    <s v="Rachel Hall"/>
    <s v="IT"/>
    <s v="Data Privacy GDPR"/>
    <x v="0"/>
    <d v="2026-01-16T00:00:00"/>
    <d v="2026-02-23T00:00:00"/>
    <n v="31.4"/>
    <b v="1"/>
    <n v="80"/>
    <s v="Completed"/>
  </r>
  <r>
    <n v="346"/>
    <s v="Rachel Hall"/>
    <s v="IT"/>
    <s v="Power BI Fundamentals"/>
    <x v="4"/>
    <d v="2025-11-21T00:00:00"/>
    <d v="2026-01-02T00:00:00"/>
    <n v="23"/>
    <b v="1"/>
    <n v="89.5"/>
    <s v="Completed"/>
  </r>
  <r>
    <n v="347"/>
    <s v="Rachel Hall"/>
    <s v="IT"/>
    <s v="Python for Analysts"/>
    <x v="4"/>
    <d v="2025-07-04T00:00:00"/>
    <d v="2025-07-29T00:00:00"/>
    <n v="37.200000000000003"/>
    <b v="1"/>
    <n v="78.7"/>
    <s v="Completed"/>
  </r>
  <r>
    <n v="348"/>
    <s v="Rachel Hall"/>
    <s v="IT"/>
    <s v="Hazard Identification"/>
    <x v="1"/>
    <d v="2025-08-19T00:00:00"/>
    <d v="2025-09-11T00:00:00"/>
    <n v="11.8"/>
    <b v="0"/>
    <n v="60"/>
    <s v="Completed"/>
  </r>
  <r>
    <n v="349"/>
    <s v="Rachel Hall"/>
    <s v="IT"/>
    <s v="Anti-Corruption Policy"/>
    <x v="0"/>
    <d v="2025-06-14T00:00:00"/>
    <m/>
    <n v="5.2"/>
    <b v="0"/>
    <m/>
    <s v="In Progress"/>
  </r>
  <r>
    <n v="350"/>
    <s v="Rachel Hall"/>
    <s v="IT"/>
    <s v="Team Collaboration"/>
    <x v="2"/>
    <d v="2026-03-15T00:00:00"/>
    <m/>
    <n v="10"/>
    <b v="0"/>
    <n v="39.5"/>
    <s v="Failed"/>
  </r>
  <r>
    <n v="351"/>
    <s v="Rachel Hall"/>
    <s v="IT"/>
    <s v="Team Collaboration"/>
    <x v="2"/>
    <d v="2025-05-19T00:00:00"/>
    <m/>
    <n v="12.3"/>
    <b v="0"/>
    <m/>
    <s v="Not Started"/>
  </r>
  <r>
    <n v="352"/>
    <s v="Rachel Hall"/>
    <s v="IT"/>
    <s v="Presentation Skills"/>
    <x v="2"/>
    <d v="2026-03-02T00:00:00"/>
    <m/>
    <n v="34.6"/>
    <b v="0"/>
    <m/>
    <s v="Not Started"/>
  </r>
  <r>
    <n v="353"/>
    <s v="Rachel Hall"/>
    <s v="IT"/>
    <s v="Presentation Skills"/>
    <x v="2"/>
    <d v="2025-12-30T00:00:00"/>
    <d v="2026-01-12T00:00:00"/>
    <n v="13"/>
    <b v="1"/>
    <n v="83.3"/>
    <s v="Completed"/>
  </r>
  <r>
    <n v="354"/>
    <s v="Rachel Hall"/>
    <s v="IT"/>
    <s v="Health Regulations"/>
    <x v="0"/>
    <d v="2025-01-04T00:00:00"/>
    <d v="2025-02-17T00:00:00"/>
    <n v="27"/>
    <b v="1"/>
    <n v="97.3"/>
    <s v="Completed"/>
  </r>
  <r>
    <n v="355"/>
    <s v="Rachel Hall"/>
    <s v="IT"/>
    <s v="Communication Skills"/>
    <x v="2"/>
    <d v="2025-06-20T00:00:00"/>
    <m/>
    <n v="14.9"/>
    <b v="0"/>
    <m/>
    <s v="Not Started"/>
  </r>
  <r>
    <n v="356"/>
    <s v="Rachel Hall"/>
    <s v="IT"/>
    <s v="Workplace Ergonomics"/>
    <x v="1"/>
    <d v="2025-04-19T00:00:00"/>
    <m/>
    <n v="36.6"/>
    <b v="0"/>
    <n v="37.799999999999997"/>
    <s v="Failed"/>
  </r>
  <r>
    <n v="357"/>
    <s v="Rachel Hall"/>
    <s v="IT"/>
    <s v="Excel Advanced"/>
    <x v="4"/>
    <d v="2025-10-14T00:00:00"/>
    <m/>
    <n v="22.2"/>
    <b v="0"/>
    <m/>
    <s v="In Progress"/>
  </r>
  <r>
    <n v="358"/>
    <s v="Rachel Hall"/>
    <s v="IT"/>
    <s v="Coaching Skills"/>
    <x v="3"/>
    <d v="2025-07-05T00:00:00"/>
    <m/>
    <n v="16"/>
    <b v="0"/>
    <m/>
    <s v="In Progress"/>
  </r>
  <r>
    <n v="359"/>
    <s v="Rachel Hall"/>
    <s v="IT"/>
    <s v="Change Management"/>
    <x v="3"/>
    <d v="2025-08-26T00:00:00"/>
    <d v="2025-09-05T00:00:00"/>
    <n v="34.6"/>
    <b v="1"/>
    <n v="69.099999999999994"/>
    <s v="Completed"/>
  </r>
  <r>
    <n v="360"/>
    <s v="Rachel Hall"/>
    <s v="IT"/>
    <s v="SQL Basics"/>
    <x v="4"/>
    <d v="2026-03-20T00:00:00"/>
    <d v="2026-04-16T00:00:00"/>
    <n v="15.4"/>
    <b v="0"/>
    <n v="86.2"/>
    <s v="Completed"/>
  </r>
  <r>
    <n v="361"/>
    <s v="Rachel Hall"/>
    <s v="IT"/>
    <s v="Workplace Ergonomics"/>
    <x v="1"/>
    <d v="2025-11-06T00:00:00"/>
    <d v="2025-11-13T00:00:00"/>
    <n v="24.9"/>
    <b v="0"/>
    <n v="94"/>
    <s v="Completed"/>
  </r>
  <r>
    <n v="362"/>
    <s v="Rachel Hall"/>
    <s v="IT"/>
    <s v="Python for Analysts"/>
    <x v="4"/>
    <d v="2025-08-22T00:00:00"/>
    <d v="2025-09-20T00:00:00"/>
    <n v="19.899999999999999"/>
    <b v="0"/>
    <n v="92.1"/>
    <s v="Completed"/>
  </r>
  <r>
    <n v="363"/>
    <s v="Rachel Hall"/>
    <s v="IT"/>
    <s v="Health Regulations"/>
    <x v="0"/>
    <d v="2025-02-26T00:00:00"/>
    <d v="2025-03-03T00:00:00"/>
    <n v="36.5"/>
    <b v="1"/>
    <n v="66"/>
    <s v="Completed"/>
  </r>
  <r>
    <n v="364"/>
    <s v="Rachel Hall"/>
    <s v="IT"/>
    <s v="Fire Safety"/>
    <x v="1"/>
    <d v="2025-12-30T00:00:00"/>
    <m/>
    <n v="25.6"/>
    <b v="0"/>
    <m/>
    <s v="In Progress"/>
  </r>
  <r>
    <n v="365"/>
    <s v="Rachel Hall"/>
    <s v="IT"/>
    <s v="Hazard Identification"/>
    <x v="1"/>
    <d v="2026-01-28T00:00:00"/>
    <d v="2026-02-21T00:00:00"/>
    <n v="21.2"/>
    <b v="1"/>
    <n v="69"/>
    <s v="Completed"/>
  </r>
  <r>
    <n v="366"/>
    <s v="Samuel Young"/>
    <s v="Operations"/>
    <s v="Python for Analysts"/>
    <x v="4"/>
    <d v="2025-06-08T00:00:00"/>
    <d v="2025-07-02T00:00:00"/>
    <n v="19.8"/>
    <b v="1"/>
    <n v="84.4"/>
    <s v="Completed"/>
  </r>
  <r>
    <n v="367"/>
    <s v="Samuel Young"/>
    <s v="Operations"/>
    <s v="Code of Conduct"/>
    <x v="0"/>
    <d v="2025-12-16T00:00:00"/>
    <m/>
    <n v="7.7"/>
    <b v="0"/>
    <m/>
    <s v="In Progress"/>
  </r>
  <r>
    <n v="368"/>
    <s v="Samuel Young"/>
    <s v="Operations"/>
    <s v="Hazard Identification"/>
    <x v="1"/>
    <d v="2025-08-02T00:00:00"/>
    <d v="2025-08-31T00:00:00"/>
    <n v="5.5"/>
    <b v="0"/>
    <n v="78.2"/>
    <s v="Completed"/>
  </r>
  <r>
    <n v="369"/>
    <s v="Samuel Young"/>
    <s v="Operations"/>
    <s v="Data Privacy GDPR"/>
    <x v="0"/>
    <d v="2025-07-06T00:00:00"/>
    <m/>
    <n v="37.299999999999997"/>
    <b v="0"/>
    <m/>
    <s v="Not Started"/>
  </r>
  <r>
    <n v="370"/>
    <s v="Samuel Young"/>
    <s v="Operations"/>
    <s v="Excel Advanced"/>
    <x v="4"/>
    <d v="2025-04-01T00:00:00"/>
    <d v="2025-04-30T00:00:00"/>
    <n v="37.299999999999997"/>
    <b v="1"/>
    <n v="60.5"/>
    <s v="Completed"/>
  </r>
  <r>
    <n v="371"/>
    <s v="Samuel Young"/>
    <s v="Operations"/>
    <s v="Hazard Identification"/>
    <x v="1"/>
    <d v="2025-12-10T00:00:00"/>
    <m/>
    <n v="38.9"/>
    <b v="0"/>
    <n v="32.299999999999997"/>
    <s v="Failed"/>
  </r>
  <r>
    <n v="372"/>
    <s v="Samuel Young"/>
    <s v="Operations"/>
    <s v="Fire Safety"/>
    <x v="1"/>
    <d v="2026-01-18T00:00:00"/>
    <m/>
    <n v="19"/>
    <b v="0"/>
    <m/>
    <s v="In Progress"/>
  </r>
  <r>
    <n v="373"/>
    <s v="Samuel Young"/>
    <s v="Operations"/>
    <s v="Code of Conduct"/>
    <x v="0"/>
    <d v="2025-09-15T00:00:00"/>
    <m/>
    <n v="6.7"/>
    <b v="0"/>
    <m/>
    <s v="In Progress"/>
  </r>
  <r>
    <n v="374"/>
    <s v="Samuel Young"/>
    <s v="Operations"/>
    <s v="Power BI Fundamentals"/>
    <x v="4"/>
    <d v="2025-11-25T00:00:00"/>
    <d v="2025-12-07T00:00:00"/>
    <n v="22.4"/>
    <b v="1"/>
    <n v="98.8"/>
    <s v="Completed"/>
  </r>
  <r>
    <n v="375"/>
    <s v="Samuel Young"/>
    <s v="Operations"/>
    <s v="Fire Safety"/>
    <x v="1"/>
    <d v="2025-11-26T00:00:00"/>
    <d v="2025-12-01T00:00:00"/>
    <n v="11.9"/>
    <b v="1"/>
    <n v="97.7"/>
    <s v="Completed"/>
  </r>
  <r>
    <n v="376"/>
    <s v="Samuel Young"/>
    <s v="Operations"/>
    <s v="Team Collaboration"/>
    <x v="2"/>
    <d v="2025-11-27T00:00:00"/>
    <m/>
    <n v="17.600000000000001"/>
    <b v="0"/>
    <m/>
    <s v="Not Started"/>
  </r>
  <r>
    <n v="377"/>
    <s v="Samuel Young"/>
    <s v="Operations"/>
    <s v="Communication Skills"/>
    <x v="2"/>
    <d v="2026-01-19T00:00:00"/>
    <m/>
    <n v="37.4"/>
    <b v="0"/>
    <m/>
    <s v="In Progress"/>
  </r>
  <r>
    <n v="378"/>
    <s v="Samuel Young"/>
    <s v="Operations"/>
    <s v="Communication Skills"/>
    <x v="2"/>
    <d v="2025-04-27T00:00:00"/>
    <m/>
    <n v="9.4"/>
    <b v="0"/>
    <n v="49.6"/>
    <s v="Failed"/>
  </r>
  <r>
    <n v="379"/>
    <s v="Samuel Young"/>
    <s v="Operations"/>
    <s v="Health Regulations"/>
    <x v="0"/>
    <d v="2025-06-02T00:00:00"/>
    <d v="2025-06-19T00:00:00"/>
    <n v="31.1"/>
    <b v="1"/>
    <n v="73.400000000000006"/>
    <s v="Completed"/>
  </r>
  <r>
    <n v="380"/>
    <s v="Samuel Young"/>
    <s v="Operations"/>
    <s v="Python for Analysts"/>
    <x v="4"/>
    <d v="2026-01-16T00:00:00"/>
    <m/>
    <n v="20.100000000000001"/>
    <b v="0"/>
    <m/>
    <s v="Not Started"/>
  </r>
  <r>
    <n v="381"/>
    <s v="Samuel Young"/>
    <s v="Operations"/>
    <s v="Strategic Thinking"/>
    <x v="3"/>
    <d v="2026-03-05T00:00:00"/>
    <d v="2026-03-20T00:00:00"/>
    <n v="35.9"/>
    <b v="1"/>
    <n v="65.7"/>
    <s v="Completed"/>
  </r>
  <r>
    <n v="382"/>
    <s v="Samuel Young"/>
    <s v="Operations"/>
    <s v="Anti-Corruption Policy"/>
    <x v="0"/>
    <d v="2025-03-10T00:00:00"/>
    <d v="2025-03-22T00:00:00"/>
    <n v="14.3"/>
    <b v="0"/>
    <n v="77.599999999999994"/>
    <s v="Completed"/>
  </r>
  <r>
    <n v="383"/>
    <s v="Samuel Young"/>
    <s v="Operations"/>
    <s v="Code of Conduct"/>
    <x v="0"/>
    <d v="2025-07-06T00:00:00"/>
    <d v="2025-08-01T00:00:00"/>
    <n v="5.2"/>
    <b v="1"/>
    <n v="74.900000000000006"/>
    <s v="Completed"/>
  </r>
  <r>
    <n v="384"/>
    <s v="Samuel Young"/>
    <s v="Operations"/>
    <s v="Change Management"/>
    <x v="3"/>
    <d v="2025-10-21T00:00:00"/>
    <d v="2025-11-25T00:00:00"/>
    <n v="12.9"/>
    <b v="1"/>
    <n v="75.8"/>
    <s v="Completed"/>
  </r>
  <r>
    <n v="385"/>
    <s v="Samuel Young"/>
    <s v="Operations"/>
    <s v="SQL Basics"/>
    <x v="4"/>
    <d v="2025-12-31T00:00:00"/>
    <d v="2026-01-05T00:00:00"/>
    <n v="25.4"/>
    <b v="0"/>
    <n v="80.599999999999994"/>
    <s v="Completed"/>
  </r>
  <r>
    <n v="386"/>
    <s v="Samuel Young"/>
    <s v="Operations"/>
    <s v="Presentation Skills"/>
    <x v="2"/>
    <d v="2025-06-05T00:00:00"/>
    <d v="2025-07-14T00:00:00"/>
    <n v="32.200000000000003"/>
    <b v="1"/>
    <n v="60.9"/>
    <s v="Completed"/>
  </r>
  <r>
    <n v="387"/>
    <s v="Samuel Young"/>
    <s v="Operations"/>
    <s v="Strategic Thinking"/>
    <x v="3"/>
    <d v="2025-09-28T00:00:00"/>
    <d v="2025-10-12T00:00:00"/>
    <n v="32.4"/>
    <b v="1"/>
    <n v="97.2"/>
    <s v="Completed"/>
  </r>
  <r>
    <n v="388"/>
    <s v="Tina King"/>
    <s v="Sales"/>
    <s v="Hazard Identification"/>
    <x v="1"/>
    <d v="2025-11-28T00:00:00"/>
    <d v="2025-12-04T00:00:00"/>
    <n v="23.7"/>
    <b v="0"/>
    <n v="73.5"/>
    <s v="Completed"/>
  </r>
  <r>
    <n v="389"/>
    <s v="Tina King"/>
    <s v="Sales"/>
    <s v="SQL Basics"/>
    <x v="4"/>
    <d v="2025-03-27T00:00:00"/>
    <d v="2025-04-01T00:00:00"/>
    <n v="34.299999999999997"/>
    <b v="1"/>
    <n v="79.2"/>
    <s v="Completed"/>
  </r>
  <r>
    <n v="390"/>
    <s v="Tina King"/>
    <s v="Sales"/>
    <s v="SQL Basics"/>
    <x v="4"/>
    <d v="2025-05-11T00:00:00"/>
    <d v="2025-06-03T00:00:00"/>
    <n v="5.9"/>
    <b v="1"/>
    <n v="70.599999999999994"/>
    <s v="Completed"/>
  </r>
  <r>
    <n v="391"/>
    <s v="Tina King"/>
    <s v="Sales"/>
    <s v="Code of Conduct"/>
    <x v="0"/>
    <d v="2025-01-21T00:00:00"/>
    <d v="2025-01-29T00:00:00"/>
    <n v="37.5"/>
    <b v="1"/>
    <n v="98.8"/>
    <s v="Completed"/>
  </r>
  <r>
    <n v="392"/>
    <s v="Tina King"/>
    <s v="Sales"/>
    <s v="Workplace Ergonomics"/>
    <x v="1"/>
    <d v="2026-02-01T00:00:00"/>
    <m/>
    <n v="20.100000000000001"/>
    <b v="0"/>
    <m/>
    <s v="Not Started"/>
  </r>
  <r>
    <n v="393"/>
    <s v="Tina King"/>
    <s v="Sales"/>
    <s v="Excel Advanced"/>
    <x v="4"/>
    <d v="2025-07-06T00:00:00"/>
    <d v="2025-08-14T00:00:00"/>
    <n v="23.1"/>
    <b v="1"/>
    <n v="67.5"/>
    <s v="Completed"/>
  </r>
  <r>
    <n v="394"/>
    <s v="Tina King"/>
    <s v="Sales"/>
    <s v="Anti-Corruption Policy"/>
    <x v="0"/>
    <d v="2025-03-31T00:00:00"/>
    <d v="2025-04-06T00:00:00"/>
    <n v="11.2"/>
    <b v="1"/>
    <n v="67.3"/>
    <s v="Completed"/>
  </r>
  <r>
    <n v="395"/>
    <s v="Tina King"/>
    <s v="Sales"/>
    <s v="Coaching Skills"/>
    <x v="3"/>
    <d v="2025-06-17T00:00:00"/>
    <d v="2025-07-02T00:00:00"/>
    <n v="16.600000000000001"/>
    <b v="1"/>
    <n v="78.7"/>
    <s v="Completed"/>
  </r>
  <r>
    <n v="396"/>
    <s v="Tina King"/>
    <s v="Sales"/>
    <s v="Anti-Corruption Policy"/>
    <x v="0"/>
    <d v="2025-02-15T00:00:00"/>
    <m/>
    <n v="11.7"/>
    <b v="0"/>
    <m/>
    <s v="In Progress"/>
  </r>
  <r>
    <n v="397"/>
    <s v="Tina King"/>
    <s v="Sales"/>
    <s v="SQL Basics"/>
    <x v="4"/>
    <d v="2025-07-13T00:00:00"/>
    <d v="2025-07-31T00:00:00"/>
    <n v="21.8"/>
    <b v="0"/>
    <n v="69.5"/>
    <s v="Completed"/>
  </r>
  <r>
    <n v="398"/>
    <s v="Tina King"/>
    <s v="Sales"/>
    <s v="Code of Conduct"/>
    <x v="0"/>
    <d v="2025-06-04T00:00:00"/>
    <m/>
    <n v="37.700000000000003"/>
    <b v="0"/>
    <m/>
    <s v="Not Started"/>
  </r>
  <r>
    <n v="399"/>
    <s v="Tina King"/>
    <s v="Sales"/>
    <s v="Team Collaboration"/>
    <x v="2"/>
    <d v="2025-03-09T00:00:00"/>
    <m/>
    <n v="39.700000000000003"/>
    <b v="0"/>
    <m/>
    <s v="In Progress"/>
  </r>
  <r>
    <n v="400"/>
    <s v="Tina King"/>
    <s v="Sales"/>
    <s v="Change Management"/>
    <x v="3"/>
    <d v="2025-08-26T00:00:00"/>
    <d v="2025-09-06T00:00:00"/>
    <n v="23.2"/>
    <b v="0"/>
    <n v="84.5"/>
    <s v="Completed"/>
  </r>
  <r>
    <n v="401"/>
    <s v="Tina King"/>
    <s v="Sales"/>
    <s v="Communication Skills"/>
    <x v="2"/>
    <d v="2025-02-03T00:00:00"/>
    <d v="2025-03-17T00:00:00"/>
    <n v="5.4"/>
    <b v="0"/>
    <n v="69.599999999999994"/>
    <s v="Completed"/>
  </r>
  <r>
    <n v="402"/>
    <s v="Tina King"/>
    <s v="Sales"/>
    <s v="Conflict Resolution"/>
    <x v="2"/>
    <d v="2026-01-07T00:00:00"/>
    <d v="2026-01-13T00:00:00"/>
    <n v="10.9"/>
    <b v="1"/>
    <n v="75.400000000000006"/>
    <s v="Completed"/>
  </r>
  <r>
    <n v="403"/>
    <s v="Tina King"/>
    <s v="Sales"/>
    <s v="Workplace Ergonomics"/>
    <x v="1"/>
    <d v="2025-06-03T00:00:00"/>
    <d v="2025-06-21T00:00:00"/>
    <n v="4.9000000000000004"/>
    <b v="0"/>
    <n v="90.3"/>
    <s v="Completed"/>
  </r>
  <r>
    <n v="404"/>
    <s v="Tina King"/>
    <s v="Sales"/>
    <s v="Strategic Thinking"/>
    <x v="3"/>
    <d v="2025-06-08T00:00:00"/>
    <d v="2025-07-20T00:00:00"/>
    <n v="23.1"/>
    <b v="1"/>
    <n v="91"/>
    <s v="Completed"/>
  </r>
  <r>
    <n v="405"/>
    <s v="Tina King"/>
    <s v="Sales"/>
    <s v="SQL Basics"/>
    <x v="4"/>
    <d v="2025-11-27T00:00:00"/>
    <m/>
    <n v="19.600000000000001"/>
    <b v="0"/>
    <m/>
    <s v="Not Started"/>
  </r>
  <r>
    <n v="406"/>
    <s v="Tina King"/>
    <s v="Sales"/>
    <s v="SQL Basics"/>
    <x v="4"/>
    <d v="2025-11-18T00:00:00"/>
    <d v="2025-12-25T00:00:00"/>
    <n v="37.5"/>
    <b v="0"/>
    <n v="99.8"/>
    <s v="Completed"/>
  </r>
  <r>
    <n v="407"/>
    <s v="Tina King"/>
    <s v="Sales"/>
    <s v="Strategic Thinking"/>
    <x v="3"/>
    <d v="2025-01-17T00:00:00"/>
    <m/>
    <n v="5.2"/>
    <b v="0"/>
    <m/>
    <s v="In Progress"/>
  </r>
  <r>
    <n v="408"/>
    <s v="Tina King"/>
    <s v="Sales"/>
    <s v="Health Regulations"/>
    <x v="0"/>
    <d v="2025-11-29T00:00:00"/>
    <m/>
    <n v="34.799999999999997"/>
    <b v="0"/>
    <m/>
    <s v="In Progress"/>
  </r>
  <r>
    <n v="409"/>
    <s v="Tina King"/>
    <s v="Sales"/>
    <s v="Communication Skills"/>
    <x v="2"/>
    <d v="2025-12-05T00:00:00"/>
    <d v="2025-12-21T00:00:00"/>
    <n v="5.5"/>
    <b v="1"/>
    <n v="70.599999999999994"/>
    <s v="Completed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9">
  <r>
    <n v="1"/>
    <s v="Alice Johnson"/>
    <s v="Finance"/>
    <s v="Code of Conduct"/>
    <s v="Compliance"/>
    <d v="2025-07-17T00:00:00"/>
    <m/>
    <n v="7.4"/>
    <b v="0"/>
    <m/>
    <x v="0"/>
  </r>
  <r>
    <n v="2"/>
    <s v="Alice Johnson"/>
    <s v="Finance"/>
    <s v="First Aid"/>
    <s v="Safety"/>
    <d v="2026-03-16T00:00:00"/>
    <m/>
    <n v="8.6"/>
    <b v="0"/>
    <m/>
    <x v="1"/>
  </r>
  <r>
    <n v="3"/>
    <s v="Alice Johnson"/>
    <s v="Finance"/>
    <s v="Health Regulations"/>
    <s v="Compliance"/>
    <d v="2025-07-22T00:00:00"/>
    <m/>
    <n v="27.2"/>
    <b v="0"/>
    <n v="42.9"/>
    <x v="2"/>
  </r>
  <r>
    <n v="4"/>
    <s v="Alice Johnson"/>
    <s v="Finance"/>
    <s v="Conflict Resolution"/>
    <s v="Soft Skills"/>
    <d v="2025-04-13T00:00:00"/>
    <d v="2025-04-21T00:00:00"/>
    <n v="33.799999999999997"/>
    <b v="1"/>
    <n v="90.3"/>
    <x v="3"/>
  </r>
  <r>
    <n v="5"/>
    <s v="Alice Johnson"/>
    <s v="Finance"/>
    <s v="Coaching Skills"/>
    <s v="Leadership"/>
    <d v="2025-06-09T00:00:00"/>
    <m/>
    <n v="32"/>
    <b v="0"/>
    <m/>
    <x v="1"/>
  </r>
  <r>
    <n v="6"/>
    <s v="Alice Johnson"/>
    <s v="Finance"/>
    <s v="Hazard Identification"/>
    <s v="Safety"/>
    <d v="2025-03-29T00:00:00"/>
    <d v="2025-04-17T00:00:00"/>
    <n v="9.6"/>
    <b v="1"/>
    <n v="89.8"/>
    <x v="3"/>
  </r>
  <r>
    <n v="7"/>
    <s v="Alice Johnson"/>
    <s v="Finance"/>
    <s v="Change Management"/>
    <s v="Leadership"/>
    <d v="2026-03-12T00:00:00"/>
    <d v="2026-04-02T00:00:00"/>
    <n v="20.9"/>
    <b v="0"/>
    <n v="65.2"/>
    <x v="3"/>
  </r>
  <r>
    <n v="8"/>
    <s v="Alice Johnson"/>
    <s v="Finance"/>
    <s v="Team Collaboration"/>
    <s v="Soft Skills"/>
    <d v="2025-08-03T00:00:00"/>
    <m/>
    <n v="19.7"/>
    <b v="0"/>
    <m/>
    <x v="0"/>
  </r>
  <r>
    <n v="9"/>
    <s v="Alice Johnson"/>
    <s v="Finance"/>
    <s v="Communication Skills"/>
    <s v="Soft Skills"/>
    <d v="2026-01-10T00:00:00"/>
    <d v="2026-02-09T00:00:00"/>
    <n v="34"/>
    <b v="1"/>
    <n v="75.5"/>
    <x v="3"/>
  </r>
  <r>
    <n v="10"/>
    <s v="Alice Johnson"/>
    <s v="Finance"/>
    <s v="Health Regulations"/>
    <s v="Compliance"/>
    <d v="2025-05-10T00:00:00"/>
    <d v="2025-05-24T00:00:00"/>
    <n v="11.2"/>
    <b v="0"/>
    <n v="91.5"/>
    <x v="3"/>
  </r>
  <r>
    <n v="11"/>
    <s v="Alice Johnson"/>
    <s v="Finance"/>
    <s v="Health Regulations"/>
    <s v="Compliance"/>
    <d v="2025-10-27T00:00:00"/>
    <m/>
    <n v="20.5"/>
    <b v="0"/>
    <m/>
    <x v="1"/>
  </r>
  <r>
    <n v="12"/>
    <s v="Alice Johnson"/>
    <s v="Finance"/>
    <s v="Code of Conduct"/>
    <s v="Compliance"/>
    <d v="2025-09-13T00:00:00"/>
    <d v="2025-09-19T00:00:00"/>
    <n v="28.1"/>
    <b v="1"/>
    <n v="82.6"/>
    <x v="3"/>
  </r>
  <r>
    <n v="13"/>
    <s v="Alice Johnson"/>
    <s v="Finance"/>
    <s v="Python for Analysts"/>
    <s v="Technical"/>
    <d v="2025-12-11T00:00:00"/>
    <m/>
    <n v="24.1"/>
    <b v="0"/>
    <m/>
    <x v="0"/>
  </r>
  <r>
    <n v="14"/>
    <s v="Alice Johnson"/>
    <s v="Finance"/>
    <s v="Health Regulations"/>
    <s v="Compliance"/>
    <d v="2025-05-17T00:00:00"/>
    <d v="2025-06-15T00:00:00"/>
    <n v="11.7"/>
    <b v="1"/>
    <n v="94.1"/>
    <x v="3"/>
  </r>
  <r>
    <n v="15"/>
    <s v="Alice Johnson"/>
    <s v="Finance"/>
    <s v="Python for Analysts"/>
    <s v="Technical"/>
    <d v="2025-04-16T00:00:00"/>
    <d v="2025-05-23T00:00:00"/>
    <n v="14.6"/>
    <b v="1"/>
    <n v="82.3"/>
    <x v="3"/>
  </r>
  <r>
    <n v="16"/>
    <s v="Alice Johnson"/>
    <s v="Finance"/>
    <s v="Power BI Fundamentals"/>
    <s v="Technical"/>
    <d v="2025-12-19T00:00:00"/>
    <d v="2026-02-01T00:00:00"/>
    <n v="33.299999999999997"/>
    <b v="0"/>
    <n v="60.9"/>
    <x v="3"/>
  </r>
  <r>
    <n v="17"/>
    <s v="Alice Johnson"/>
    <s v="Finance"/>
    <s v="Data Privacy GDPR"/>
    <s v="Compliance"/>
    <d v="2025-02-10T00:00:00"/>
    <d v="2025-03-17T00:00:00"/>
    <n v="9.8000000000000007"/>
    <b v="1"/>
    <n v="66.099999999999994"/>
    <x v="3"/>
  </r>
  <r>
    <n v="18"/>
    <s v="Alice Johnson"/>
    <s v="Finance"/>
    <s v="Anti-Corruption Policy"/>
    <s v="Compliance"/>
    <d v="2025-11-10T00:00:00"/>
    <d v="2025-12-04T00:00:00"/>
    <n v="14.9"/>
    <b v="1"/>
    <n v="74.5"/>
    <x v="3"/>
  </r>
  <r>
    <n v="19"/>
    <s v="Bob Martinez"/>
    <s v="HR"/>
    <s v="Fire Safety"/>
    <s v="Safety"/>
    <d v="2025-06-04T00:00:00"/>
    <m/>
    <n v="36.700000000000003"/>
    <b v="0"/>
    <n v="37.700000000000003"/>
    <x v="2"/>
  </r>
  <r>
    <n v="20"/>
    <s v="Bob Martinez"/>
    <s v="HR"/>
    <s v="Health Regulations"/>
    <s v="Compliance"/>
    <d v="2025-04-29T00:00:00"/>
    <m/>
    <n v="20.2"/>
    <b v="0"/>
    <m/>
    <x v="0"/>
  </r>
  <r>
    <n v="21"/>
    <s v="Bob Martinez"/>
    <s v="HR"/>
    <s v="Anti-Corruption Policy"/>
    <s v="Compliance"/>
    <d v="2025-02-05T00:00:00"/>
    <m/>
    <n v="20.399999999999999"/>
    <b v="0"/>
    <n v="38.9"/>
    <x v="2"/>
  </r>
  <r>
    <n v="22"/>
    <s v="Bob Martinez"/>
    <s v="HR"/>
    <s v="First Aid"/>
    <s v="Safety"/>
    <d v="2025-09-04T00:00:00"/>
    <m/>
    <n v="31.3"/>
    <b v="0"/>
    <m/>
    <x v="1"/>
  </r>
  <r>
    <n v="23"/>
    <s v="Bob Martinez"/>
    <s v="HR"/>
    <s v="Coaching Skills"/>
    <s v="Leadership"/>
    <d v="2025-10-26T00:00:00"/>
    <m/>
    <n v="25"/>
    <b v="0"/>
    <m/>
    <x v="0"/>
  </r>
  <r>
    <n v="24"/>
    <s v="Bob Martinez"/>
    <s v="HR"/>
    <s v="Power BI Fundamentals"/>
    <s v="Technical"/>
    <d v="2025-10-10T00:00:00"/>
    <d v="2025-10-18T00:00:00"/>
    <n v="5.5"/>
    <b v="1"/>
    <n v="73.2"/>
    <x v="3"/>
  </r>
  <r>
    <n v="25"/>
    <s v="Bob Martinez"/>
    <s v="HR"/>
    <s v="Data Privacy GDPR"/>
    <s v="Compliance"/>
    <d v="2025-11-01T00:00:00"/>
    <m/>
    <n v="10.1"/>
    <b v="0"/>
    <m/>
    <x v="0"/>
  </r>
  <r>
    <n v="26"/>
    <s v="Bob Martinez"/>
    <s v="HR"/>
    <s v="Presentation Skills"/>
    <s v="Soft Skills"/>
    <d v="2026-03-22T00:00:00"/>
    <d v="2026-04-19T00:00:00"/>
    <n v="25.3"/>
    <b v="0"/>
    <n v="98.3"/>
    <x v="3"/>
  </r>
  <r>
    <n v="27"/>
    <s v="Bob Martinez"/>
    <s v="HR"/>
    <s v="Change Management"/>
    <s v="Leadership"/>
    <d v="2025-07-30T00:00:00"/>
    <d v="2025-09-04T00:00:00"/>
    <n v="21.5"/>
    <b v="1"/>
    <n v="97.5"/>
    <x v="3"/>
  </r>
  <r>
    <n v="28"/>
    <s v="Bob Martinez"/>
    <s v="HR"/>
    <s v="Power BI Fundamentals"/>
    <s v="Technical"/>
    <d v="2025-09-02T00:00:00"/>
    <d v="2025-09-25T00:00:00"/>
    <n v="15.9"/>
    <b v="1"/>
    <n v="77.599999999999994"/>
    <x v="3"/>
  </r>
  <r>
    <n v="29"/>
    <s v="Bob Martinez"/>
    <s v="HR"/>
    <s v="Communication Skills"/>
    <s v="Soft Skills"/>
    <d v="2025-06-13T00:00:00"/>
    <m/>
    <n v="9"/>
    <b v="0"/>
    <m/>
    <x v="1"/>
  </r>
  <r>
    <n v="30"/>
    <s v="Bob Martinez"/>
    <s v="HR"/>
    <s v="Team Collaboration"/>
    <s v="Soft Skills"/>
    <d v="2025-05-23T00:00:00"/>
    <m/>
    <n v="14.1"/>
    <b v="0"/>
    <m/>
    <x v="0"/>
  </r>
  <r>
    <n v="31"/>
    <s v="Bob Martinez"/>
    <s v="HR"/>
    <s v="Team Collaboration"/>
    <s v="Soft Skills"/>
    <d v="2025-11-25T00:00:00"/>
    <m/>
    <n v="7.9"/>
    <b v="0"/>
    <m/>
    <x v="1"/>
  </r>
  <r>
    <n v="32"/>
    <s v="Bob Martinez"/>
    <s v="HR"/>
    <s v="Health Regulations"/>
    <s v="Compliance"/>
    <d v="2026-03-15T00:00:00"/>
    <d v="2026-03-29T00:00:00"/>
    <n v="24"/>
    <b v="1"/>
    <n v="93.2"/>
    <x v="3"/>
  </r>
  <r>
    <n v="33"/>
    <s v="Bob Martinez"/>
    <s v="HR"/>
    <s v="Strategic Thinking"/>
    <s v="Leadership"/>
    <d v="2026-03-10T00:00:00"/>
    <m/>
    <n v="14.5"/>
    <b v="0"/>
    <n v="37.4"/>
    <x v="2"/>
  </r>
  <r>
    <n v="34"/>
    <s v="Bob Martinez"/>
    <s v="HR"/>
    <s v="Hazard Identification"/>
    <s v="Safety"/>
    <d v="2025-03-23T00:00:00"/>
    <d v="2025-04-03T00:00:00"/>
    <n v="19.7"/>
    <b v="1"/>
    <n v="95.7"/>
    <x v="3"/>
  </r>
  <r>
    <n v="35"/>
    <s v="Bob Martinez"/>
    <s v="HR"/>
    <s v="Power BI Fundamentals"/>
    <s v="Technical"/>
    <d v="2026-01-16T00:00:00"/>
    <m/>
    <n v="22.7"/>
    <b v="0"/>
    <m/>
    <x v="1"/>
  </r>
  <r>
    <n v="36"/>
    <s v="Bob Martinez"/>
    <s v="HR"/>
    <s v="Change Management"/>
    <s v="Leadership"/>
    <d v="2025-01-10T00:00:00"/>
    <m/>
    <n v="17.5"/>
    <b v="0"/>
    <m/>
    <x v="0"/>
  </r>
  <r>
    <n v="37"/>
    <s v="Bob Martinez"/>
    <s v="HR"/>
    <s v="Fire Safety"/>
    <s v="Safety"/>
    <d v="2025-11-28T00:00:00"/>
    <d v="2026-01-01T00:00:00"/>
    <n v="37.700000000000003"/>
    <b v="0"/>
    <n v="64.900000000000006"/>
    <x v="3"/>
  </r>
  <r>
    <n v="38"/>
    <s v="Bob Martinez"/>
    <s v="HR"/>
    <s v="SQL Basics"/>
    <s v="Technical"/>
    <d v="2026-02-06T00:00:00"/>
    <d v="2026-02-17T00:00:00"/>
    <n v="25.6"/>
    <b v="1"/>
    <n v="67.900000000000006"/>
    <x v="3"/>
  </r>
  <r>
    <n v="39"/>
    <s v="Carol White"/>
    <s v="IT"/>
    <s v="Presentation Skills"/>
    <s v="Soft Skills"/>
    <d v="2025-12-16T00:00:00"/>
    <d v="2026-01-02T00:00:00"/>
    <n v="9.1999999999999993"/>
    <b v="0"/>
    <n v="69.2"/>
    <x v="3"/>
  </r>
  <r>
    <n v="40"/>
    <s v="Carol White"/>
    <s v="IT"/>
    <s v="Workplace Ergonomics"/>
    <s v="Safety"/>
    <d v="2025-03-01T00:00:00"/>
    <d v="2025-03-06T00:00:00"/>
    <n v="22.2"/>
    <b v="1"/>
    <n v="83.2"/>
    <x v="3"/>
  </r>
  <r>
    <n v="41"/>
    <s v="Carol White"/>
    <s v="IT"/>
    <s v="Anti-Corruption Policy"/>
    <s v="Compliance"/>
    <d v="2025-03-31T00:00:00"/>
    <m/>
    <n v="30.6"/>
    <b v="0"/>
    <m/>
    <x v="0"/>
  </r>
  <r>
    <n v="42"/>
    <s v="Carol White"/>
    <s v="IT"/>
    <s v="Hazard Identification"/>
    <s v="Safety"/>
    <d v="2025-02-28T00:00:00"/>
    <m/>
    <n v="18.3"/>
    <b v="0"/>
    <n v="44.2"/>
    <x v="2"/>
  </r>
  <r>
    <n v="43"/>
    <s v="Carol White"/>
    <s v="IT"/>
    <s v="Power BI Fundamentals"/>
    <s v="Technical"/>
    <d v="2025-10-26T00:00:00"/>
    <d v="2025-11-12T00:00:00"/>
    <n v="37.299999999999997"/>
    <b v="0"/>
    <n v="82.2"/>
    <x v="3"/>
  </r>
  <r>
    <n v="44"/>
    <s v="Carol White"/>
    <s v="IT"/>
    <s v="Fire Safety"/>
    <s v="Safety"/>
    <d v="2025-10-13T00:00:00"/>
    <d v="2025-11-20T00:00:00"/>
    <n v="19.100000000000001"/>
    <b v="1"/>
    <n v="83.8"/>
    <x v="3"/>
  </r>
  <r>
    <n v="45"/>
    <s v="Carol White"/>
    <s v="IT"/>
    <s v="Python for Analysts"/>
    <s v="Technical"/>
    <d v="2026-02-24T00:00:00"/>
    <d v="2026-03-30T00:00:00"/>
    <n v="32.299999999999997"/>
    <b v="0"/>
    <n v="64.400000000000006"/>
    <x v="3"/>
  </r>
  <r>
    <n v="46"/>
    <s v="Carol White"/>
    <s v="IT"/>
    <s v="Workplace Ergonomics"/>
    <s v="Safety"/>
    <d v="2026-01-09T00:00:00"/>
    <d v="2026-01-24T00:00:00"/>
    <n v="23.1"/>
    <b v="1"/>
    <n v="94.7"/>
    <x v="3"/>
  </r>
  <r>
    <n v="47"/>
    <s v="Carol White"/>
    <s v="IT"/>
    <s v="Health Regulations"/>
    <s v="Compliance"/>
    <d v="2025-09-29T00:00:00"/>
    <d v="2025-10-15T00:00:00"/>
    <n v="19.3"/>
    <b v="1"/>
    <n v="94.7"/>
    <x v="3"/>
  </r>
  <r>
    <n v="48"/>
    <s v="Carol White"/>
    <s v="IT"/>
    <s v="Change Management"/>
    <s v="Leadership"/>
    <d v="2025-07-24T00:00:00"/>
    <d v="2025-08-19T00:00:00"/>
    <n v="30.9"/>
    <b v="1"/>
    <n v="64.2"/>
    <x v="3"/>
  </r>
  <r>
    <n v="49"/>
    <s v="Carol White"/>
    <s v="IT"/>
    <s v="Presentation Skills"/>
    <s v="Soft Skills"/>
    <d v="2025-01-30T00:00:00"/>
    <d v="2025-02-23T00:00:00"/>
    <n v="33.700000000000003"/>
    <b v="1"/>
    <n v="65.8"/>
    <x v="3"/>
  </r>
  <r>
    <n v="50"/>
    <s v="Carol White"/>
    <s v="IT"/>
    <s v="Strategic Thinking"/>
    <s v="Leadership"/>
    <d v="2026-02-19T00:00:00"/>
    <d v="2026-03-19T00:00:00"/>
    <n v="9.5"/>
    <b v="0"/>
    <n v="60.8"/>
    <x v="3"/>
  </r>
  <r>
    <n v="51"/>
    <s v="Carol White"/>
    <s v="IT"/>
    <s v="Power BI Fundamentals"/>
    <s v="Technical"/>
    <d v="2025-01-25T00:00:00"/>
    <d v="2025-02-06T00:00:00"/>
    <n v="25.3"/>
    <b v="1"/>
    <n v="75.7"/>
    <x v="3"/>
  </r>
  <r>
    <n v="52"/>
    <s v="Carol White"/>
    <s v="IT"/>
    <s v="SQL Basics"/>
    <s v="Technical"/>
    <d v="2025-05-24T00:00:00"/>
    <m/>
    <n v="34.6"/>
    <b v="0"/>
    <m/>
    <x v="1"/>
  </r>
  <r>
    <n v="53"/>
    <s v="Carol White"/>
    <s v="IT"/>
    <s v="Coaching Skills"/>
    <s v="Leadership"/>
    <d v="2025-01-20T00:00:00"/>
    <d v="2025-02-13T00:00:00"/>
    <n v="13"/>
    <b v="1"/>
    <n v="76.7"/>
    <x v="3"/>
  </r>
  <r>
    <n v="54"/>
    <s v="Carol White"/>
    <s v="IT"/>
    <s v="Excel Advanced"/>
    <s v="Technical"/>
    <d v="2025-01-23T00:00:00"/>
    <d v="2025-01-28T00:00:00"/>
    <n v="7.7"/>
    <b v="1"/>
    <n v="62.1"/>
    <x v="3"/>
  </r>
  <r>
    <n v="55"/>
    <s v="Carol White"/>
    <s v="IT"/>
    <s v="Conflict Resolution"/>
    <s v="Soft Skills"/>
    <d v="2026-02-21T00:00:00"/>
    <m/>
    <n v="36.5"/>
    <b v="0"/>
    <m/>
    <x v="1"/>
  </r>
  <r>
    <n v="56"/>
    <s v="Carol White"/>
    <s v="IT"/>
    <s v="Python for Analysts"/>
    <s v="Technical"/>
    <d v="2026-03-17T00:00:00"/>
    <m/>
    <n v="27.1"/>
    <b v="0"/>
    <m/>
    <x v="1"/>
  </r>
  <r>
    <n v="57"/>
    <s v="Carol White"/>
    <s v="IT"/>
    <s v="First Aid"/>
    <s v="Safety"/>
    <d v="2025-12-17T00:00:00"/>
    <d v="2026-01-20T00:00:00"/>
    <n v="22.5"/>
    <b v="1"/>
    <n v="78.5"/>
    <x v="3"/>
  </r>
  <r>
    <n v="58"/>
    <s v="David Lee"/>
    <s v="Operations"/>
    <s v="Anti-Corruption Policy"/>
    <s v="Compliance"/>
    <d v="2025-11-05T00:00:00"/>
    <d v="2025-12-05T00:00:00"/>
    <n v="9"/>
    <b v="1"/>
    <n v="76.7"/>
    <x v="3"/>
  </r>
  <r>
    <n v="59"/>
    <s v="David Lee"/>
    <s v="Operations"/>
    <s v="Data Privacy GDPR"/>
    <s v="Compliance"/>
    <d v="2025-06-02T00:00:00"/>
    <d v="2025-06-21T00:00:00"/>
    <n v="15.8"/>
    <b v="1"/>
    <n v="87.4"/>
    <x v="3"/>
  </r>
  <r>
    <n v="60"/>
    <s v="David Lee"/>
    <s v="Operations"/>
    <s v="Conflict Resolution"/>
    <s v="Soft Skills"/>
    <d v="2025-12-23T00:00:00"/>
    <m/>
    <n v="21.3"/>
    <b v="0"/>
    <n v="45.5"/>
    <x v="2"/>
  </r>
  <r>
    <n v="61"/>
    <s v="David Lee"/>
    <s v="Operations"/>
    <s v="Hazard Identification"/>
    <s v="Safety"/>
    <d v="2025-08-09T00:00:00"/>
    <m/>
    <n v="23.2"/>
    <b v="0"/>
    <m/>
    <x v="1"/>
  </r>
  <r>
    <n v="62"/>
    <s v="David Lee"/>
    <s v="Operations"/>
    <s v="Code of Conduct"/>
    <s v="Compliance"/>
    <d v="2025-02-02T00:00:00"/>
    <m/>
    <n v="11.3"/>
    <b v="0"/>
    <m/>
    <x v="0"/>
  </r>
  <r>
    <n v="63"/>
    <s v="David Lee"/>
    <s v="Operations"/>
    <s v="Coaching Skills"/>
    <s v="Leadership"/>
    <d v="2025-08-15T00:00:00"/>
    <d v="2025-09-23T00:00:00"/>
    <n v="26.1"/>
    <b v="0"/>
    <n v="89"/>
    <x v="3"/>
  </r>
  <r>
    <n v="64"/>
    <s v="David Lee"/>
    <s v="Operations"/>
    <s v="Leadership Essentials"/>
    <s v="Leadership"/>
    <d v="2025-08-24T00:00:00"/>
    <d v="2025-10-05T00:00:00"/>
    <n v="38.5"/>
    <b v="1"/>
    <n v="83.7"/>
    <x v="3"/>
  </r>
  <r>
    <n v="65"/>
    <s v="David Lee"/>
    <s v="Operations"/>
    <s v="Strategic Thinking"/>
    <s v="Leadership"/>
    <d v="2026-03-25T00:00:00"/>
    <m/>
    <n v="13.1"/>
    <b v="0"/>
    <n v="32.799999999999997"/>
    <x v="2"/>
  </r>
  <r>
    <n v="66"/>
    <s v="David Lee"/>
    <s v="Operations"/>
    <s v="Coaching Skills"/>
    <s v="Leadership"/>
    <d v="2025-03-17T00:00:00"/>
    <m/>
    <n v="24.6"/>
    <b v="0"/>
    <m/>
    <x v="0"/>
  </r>
  <r>
    <n v="67"/>
    <s v="David Lee"/>
    <s v="Operations"/>
    <s v="Change Management"/>
    <s v="Leadership"/>
    <d v="2025-11-02T00:00:00"/>
    <m/>
    <n v="32.799999999999997"/>
    <b v="0"/>
    <m/>
    <x v="1"/>
  </r>
  <r>
    <n v="68"/>
    <s v="David Lee"/>
    <s v="Operations"/>
    <s v="Change Management"/>
    <s v="Leadership"/>
    <d v="2025-04-17T00:00:00"/>
    <m/>
    <n v="8.3000000000000007"/>
    <b v="0"/>
    <n v="32.5"/>
    <x v="2"/>
  </r>
  <r>
    <n v="69"/>
    <s v="David Lee"/>
    <s v="Operations"/>
    <s v="Coaching Skills"/>
    <s v="Leadership"/>
    <d v="2025-11-24T00:00:00"/>
    <m/>
    <n v="28.2"/>
    <b v="0"/>
    <m/>
    <x v="1"/>
  </r>
  <r>
    <n v="70"/>
    <s v="David Lee"/>
    <s v="Operations"/>
    <s v="Anti-Corruption Policy"/>
    <s v="Compliance"/>
    <d v="2025-11-29T00:00:00"/>
    <m/>
    <n v="13.7"/>
    <b v="0"/>
    <m/>
    <x v="1"/>
  </r>
  <r>
    <n v="71"/>
    <s v="David Lee"/>
    <s v="Operations"/>
    <s v="Anti-Corruption Policy"/>
    <s v="Compliance"/>
    <d v="2025-08-28T00:00:00"/>
    <d v="2025-09-14T00:00:00"/>
    <n v="9.3000000000000007"/>
    <b v="1"/>
    <n v="77.5"/>
    <x v="3"/>
  </r>
  <r>
    <n v="72"/>
    <s v="David Lee"/>
    <s v="Operations"/>
    <s v="Anti-Corruption Policy"/>
    <s v="Compliance"/>
    <d v="2025-02-27T00:00:00"/>
    <m/>
    <n v="37.700000000000003"/>
    <b v="0"/>
    <m/>
    <x v="0"/>
  </r>
  <r>
    <n v="73"/>
    <s v="David Lee"/>
    <s v="Operations"/>
    <s v="Presentation Skills"/>
    <s v="Soft Skills"/>
    <d v="2025-10-03T00:00:00"/>
    <d v="2025-10-27T00:00:00"/>
    <n v="39.5"/>
    <b v="1"/>
    <n v="98"/>
    <x v="3"/>
  </r>
  <r>
    <n v="74"/>
    <s v="David Lee"/>
    <s v="Operations"/>
    <s v="Leadership Essentials"/>
    <s v="Leadership"/>
    <d v="2025-05-02T00:00:00"/>
    <m/>
    <n v="8.4"/>
    <b v="0"/>
    <m/>
    <x v="0"/>
  </r>
  <r>
    <n v="75"/>
    <s v="David Lee"/>
    <s v="Operations"/>
    <s v="Coaching Skills"/>
    <s v="Leadership"/>
    <d v="2025-01-15T00:00:00"/>
    <d v="2025-02-16T00:00:00"/>
    <n v="20.399999999999999"/>
    <b v="1"/>
    <n v="71.8"/>
    <x v="3"/>
  </r>
  <r>
    <n v="76"/>
    <s v="Emma Brown"/>
    <s v="Sales"/>
    <s v="Change Management"/>
    <s v="Leadership"/>
    <d v="2025-07-19T00:00:00"/>
    <m/>
    <n v="32.1"/>
    <b v="0"/>
    <n v="58.9"/>
    <x v="2"/>
  </r>
  <r>
    <n v="77"/>
    <s v="Emma Brown"/>
    <s v="Sales"/>
    <s v="Communication Skills"/>
    <s v="Soft Skills"/>
    <d v="2026-01-31T00:00:00"/>
    <m/>
    <n v="7.8"/>
    <b v="0"/>
    <m/>
    <x v="1"/>
  </r>
  <r>
    <n v="78"/>
    <s v="Emma Brown"/>
    <s v="Sales"/>
    <s v="Team Collaboration"/>
    <s v="Soft Skills"/>
    <d v="2026-03-26T00:00:00"/>
    <m/>
    <n v="7.3"/>
    <b v="0"/>
    <m/>
    <x v="0"/>
  </r>
  <r>
    <n v="79"/>
    <s v="Emma Brown"/>
    <s v="Sales"/>
    <s v="Code of Conduct"/>
    <s v="Compliance"/>
    <d v="2026-02-08T00:00:00"/>
    <d v="2026-03-19T00:00:00"/>
    <n v="9.1"/>
    <b v="1"/>
    <n v="67.900000000000006"/>
    <x v="3"/>
  </r>
  <r>
    <n v="80"/>
    <s v="Emma Brown"/>
    <s v="Sales"/>
    <s v="Python for Analysts"/>
    <s v="Technical"/>
    <d v="2026-02-14T00:00:00"/>
    <d v="2026-03-02T00:00:00"/>
    <n v="4.2"/>
    <b v="0"/>
    <n v="84.2"/>
    <x v="3"/>
  </r>
  <r>
    <n v="81"/>
    <s v="Emma Brown"/>
    <s v="Sales"/>
    <s v="Health Regulations"/>
    <s v="Compliance"/>
    <d v="2025-12-27T00:00:00"/>
    <m/>
    <n v="6.1"/>
    <b v="0"/>
    <m/>
    <x v="1"/>
  </r>
  <r>
    <n v="82"/>
    <s v="Emma Brown"/>
    <s v="Sales"/>
    <s v="Team Collaboration"/>
    <s v="Soft Skills"/>
    <d v="2025-12-27T00:00:00"/>
    <m/>
    <n v="29.1"/>
    <b v="0"/>
    <m/>
    <x v="1"/>
  </r>
  <r>
    <n v="83"/>
    <s v="Emma Brown"/>
    <s v="Sales"/>
    <s v="Hazard Identification"/>
    <s v="Safety"/>
    <d v="2026-01-13T00:00:00"/>
    <d v="2026-02-04T00:00:00"/>
    <n v="8.5"/>
    <b v="1"/>
    <n v="89.8"/>
    <x v="3"/>
  </r>
  <r>
    <n v="84"/>
    <s v="Emma Brown"/>
    <s v="Sales"/>
    <s v="Power BI Fundamentals"/>
    <s v="Technical"/>
    <d v="2025-10-11T00:00:00"/>
    <d v="2025-10-19T00:00:00"/>
    <n v="30.4"/>
    <b v="0"/>
    <n v="70.8"/>
    <x v="3"/>
  </r>
  <r>
    <n v="85"/>
    <s v="Emma Brown"/>
    <s v="Sales"/>
    <s v="Fire Safety"/>
    <s v="Safety"/>
    <d v="2025-11-16T00:00:00"/>
    <m/>
    <n v="6"/>
    <b v="0"/>
    <m/>
    <x v="0"/>
  </r>
  <r>
    <n v="86"/>
    <s v="Emma Brown"/>
    <s v="Sales"/>
    <s v="Fire Safety"/>
    <s v="Safety"/>
    <d v="2025-10-05T00:00:00"/>
    <m/>
    <n v="29.5"/>
    <b v="0"/>
    <m/>
    <x v="1"/>
  </r>
  <r>
    <n v="87"/>
    <s v="Emma Brown"/>
    <s v="Sales"/>
    <s v="Excel Advanced"/>
    <s v="Technical"/>
    <d v="2025-03-19T00:00:00"/>
    <d v="2025-04-07T00:00:00"/>
    <n v="39.299999999999997"/>
    <b v="1"/>
    <n v="91.4"/>
    <x v="3"/>
  </r>
  <r>
    <n v="88"/>
    <s v="Emma Brown"/>
    <s v="Sales"/>
    <s v="Excel Advanced"/>
    <s v="Technical"/>
    <d v="2025-10-14T00:00:00"/>
    <d v="2025-11-22T00:00:00"/>
    <n v="38.1"/>
    <b v="1"/>
    <n v="83.1"/>
    <x v="3"/>
  </r>
  <r>
    <n v="89"/>
    <s v="Emma Brown"/>
    <s v="Sales"/>
    <s v="Coaching Skills"/>
    <s v="Leadership"/>
    <d v="2025-11-11T00:00:00"/>
    <m/>
    <n v="9.3000000000000007"/>
    <b v="0"/>
    <n v="41.7"/>
    <x v="2"/>
  </r>
  <r>
    <n v="90"/>
    <s v="Emma Brown"/>
    <s v="Sales"/>
    <s v="Health Regulations"/>
    <s v="Compliance"/>
    <d v="2025-08-02T00:00:00"/>
    <d v="2025-08-12T00:00:00"/>
    <n v="14"/>
    <b v="1"/>
    <n v="77.099999999999994"/>
    <x v="3"/>
  </r>
  <r>
    <n v="91"/>
    <s v="Emma Brown"/>
    <s v="Sales"/>
    <s v="SQL Basics"/>
    <s v="Technical"/>
    <d v="2025-10-02T00:00:00"/>
    <d v="2025-10-23T00:00:00"/>
    <n v="18.7"/>
    <b v="0"/>
    <n v="83.5"/>
    <x v="3"/>
  </r>
  <r>
    <n v="92"/>
    <s v="Emma Brown"/>
    <s v="Sales"/>
    <s v="Code of Conduct"/>
    <s v="Compliance"/>
    <d v="2025-05-23T00:00:00"/>
    <d v="2025-07-03T00:00:00"/>
    <n v="21.1"/>
    <b v="0"/>
    <n v="82.9"/>
    <x v="3"/>
  </r>
  <r>
    <n v="93"/>
    <s v="Emma Brown"/>
    <s v="Sales"/>
    <s v="Excel Advanced"/>
    <s v="Technical"/>
    <d v="2025-09-12T00:00:00"/>
    <m/>
    <n v="27.5"/>
    <b v="0"/>
    <m/>
    <x v="0"/>
  </r>
  <r>
    <n v="94"/>
    <s v="Emma Brown"/>
    <s v="Sales"/>
    <s v="Code of Conduct"/>
    <s v="Compliance"/>
    <d v="2025-05-23T00:00:00"/>
    <d v="2025-06-06T00:00:00"/>
    <n v="19.5"/>
    <b v="1"/>
    <n v="74.400000000000006"/>
    <x v="3"/>
  </r>
  <r>
    <n v="95"/>
    <s v="Emma Brown"/>
    <s v="Sales"/>
    <s v="Health Regulations"/>
    <s v="Compliance"/>
    <d v="2025-08-19T00:00:00"/>
    <m/>
    <n v="37.200000000000003"/>
    <b v="0"/>
    <m/>
    <x v="1"/>
  </r>
  <r>
    <n v="96"/>
    <s v="Emma Brown"/>
    <s v="Sales"/>
    <s v="Health Regulations"/>
    <s v="Compliance"/>
    <d v="2025-08-15T00:00:00"/>
    <m/>
    <n v="15.3"/>
    <b v="0"/>
    <m/>
    <x v="1"/>
  </r>
  <r>
    <n v="97"/>
    <s v="Emma Brown"/>
    <s v="Sales"/>
    <s v="Coaching Skills"/>
    <s v="Leadership"/>
    <d v="2026-01-12T00:00:00"/>
    <d v="2026-02-01T00:00:00"/>
    <n v="6.6"/>
    <b v="1"/>
    <n v="62.2"/>
    <x v="3"/>
  </r>
  <r>
    <n v="98"/>
    <s v="Emma Brown"/>
    <s v="Sales"/>
    <s v="Leadership Essentials"/>
    <s v="Leadership"/>
    <d v="2025-05-07T00:00:00"/>
    <d v="2025-06-03T00:00:00"/>
    <n v="15.3"/>
    <b v="1"/>
    <n v="60.6"/>
    <x v="3"/>
  </r>
  <r>
    <n v="99"/>
    <s v="Frank Wilson"/>
    <s v="Finance"/>
    <s v="Strategic Thinking"/>
    <s v="Leadership"/>
    <d v="2025-11-14T00:00:00"/>
    <d v="2025-12-23T00:00:00"/>
    <n v="9.5"/>
    <b v="1"/>
    <n v="64.8"/>
    <x v="3"/>
  </r>
  <r>
    <n v="100"/>
    <s v="Frank Wilson"/>
    <s v="Finance"/>
    <s v="Change Management"/>
    <s v="Leadership"/>
    <d v="2025-08-14T00:00:00"/>
    <m/>
    <n v="31.8"/>
    <b v="0"/>
    <n v="49.9"/>
    <x v="2"/>
  </r>
  <r>
    <n v="101"/>
    <s v="Frank Wilson"/>
    <s v="Finance"/>
    <s v="Power BI Fundamentals"/>
    <s v="Technical"/>
    <d v="2025-12-05T00:00:00"/>
    <m/>
    <n v="4.4000000000000004"/>
    <b v="0"/>
    <m/>
    <x v="0"/>
  </r>
  <r>
    <n v="102"/>
    <s v="Frank Wilson"/>
    <s v="Finance"/>
    <s v="Data Privacy GDPR"/>
    <s v="Compliance"/>
    <d v="2025-12-07T00:00:00"/>
    <d v="2026-01-02T00:00:00"/>
    <n v="10"/>
    <b v="1"/>
    <n v="99.6"/>
    <x v="3"/>
  </r>
  <r>
    <n v="103"/>
    <s v="Frank Wilson"/>
    <s v="Finance"/>
    <s v="First Aid"/>
    <s v="Safety"/>
    <d v="2025-04-01T00:00:00"/>
    <m/>
    <n v="9.1"/>
    <b v="0"/>
    <n v="41.4"/>
    <x v="2"/>
  </r>
  <r>
    <n v="104"/>
    <s v="Frank Wilson"/>
    <s v="Finance"/>
    <s v="Communication Skills"/>
    <s v="Soft Skills"/>
    <d v="2026-01-11T00:00:00"/>
    <d v="2026-02-15T00:00:00"/>
    <n v="20.9"/>
    <b v="0"/>
    <n v="67.2"/>
    <x v="3"/>
  </r>
  <r>
    <n v="105"/>
    <s v="Frank Wilson"/>
    <s v="Finance"/>
    <s v="Presentation Skills"/>
    <s v="Soft Skills"/>
    <d v="2026-02-28T00:00:00"/>
    <d v="2026-03-06T00:00:00"/>
    <n v="14.5"/>
    <b v="1"/>
    <n v="83.5"/>
    <x v="3"/>
  </r>
  <r>
    <n v="106"/>
    <s v="Frank Wilson"/>
    <s v="Finance"/>
    <s v="Anti-Corruption Policy"/>
    <s v="Compliance"/>
    <d v="2025-01-07T00:00:00"/>
    <d v="2025-01-15T00:00:00"/>
    <n v="34.4"/>
    <b v="1"/>
    <n v="86"/>
    <x v="3"/>
  </r>
  <r>
    <n v="107"/>
    <s v="Frank Wilson"/>
    <s v="Finance"/>
    <s v="Coaching Skills"/>
    <s v="Leadership"/>
    <d v="2025-12-24T00:00:00"/>
    <d v="2026-01-28T00:00:00"/>
    <n v="17.2"/>
    <b v="1"/>
    <n v="73.5"/>
    <x v="3"/>
  </r>
  <r>
    <n v="108"/>
    <s v="Frank Wilson"/>
    <s v="Finance"/>
    <s v="Hazard Identification"/>
    <s v="Safety"/>
    <d v="2025-05-29T00:00:00"/>
    <m/>
    <n v="34.700000000000003"/>
    <b v="0"/>
    <m/>
    <x v="1"/>
  </r>
  <r>
    <n v="109"/>
    <s v="Frank Wilson"/>
    <s v="Finance"/>
    <s v="Team Collaboration"/>
    <s v="Soft Skills"/>
    <d v="2025-07-13T00:00:00"/>
    <m/>
    <n v="34.6"/>
    <b v="0"/>
    <m/>
    <x v="0"/>
  </r>
  <r>
    <n v="110"/>
    <s v="Frank Wilson"/>
    <s v="Finance"/>
    <s v="Conflict Resolution"/>
    <s v="Soft Skills"/>
    <d v="2025-09-20T00:00:00"/>
    <d v="2025-10-14T00:00:00"/>
    <n v="7.8"/>
    <b v="1"/>
    <n v="96.7"/>
    <x v="3"/>
  </r>
  <r>
    <n v="111"/>
    <s v="Frank Wilson"/>
    <s v="Finance"/>
    <s v="Code of Conduct"/>
    <s v="Compliance"/>
    <d v="2025-06-26T00:00:00"/>
    <d v="2025-07-08T00:00:00"/>
    <n v="10.9"/>
    <b v="0"/>
    <n v="97.1"/>
    <x v="3"/>
  </r>
  <r>
    <n v="112"/>
    <s v="Frank Wilson"/>
    <s v="Finance"/>
    <s v="Anti-Corruption Policy"/>
    <s v="Compliance"/>
    <d v="2025-07-09T00:00:00"/>
    <m/>
    <n v="4.3"/>
    <b v="0"/>
    <m/>
    <x v="0"/>
  </r>
  <r>
    <n v="113"/>
    <s v="Frank Wilson"/>
    <s v="Finance"/>
    <s v="Change Management"/>
    <s v="Leadership"/>
    <d v="2025-03-18T00:00:00"/>
    <m/>
    <n v="39.299999999999997"/>
    <b v="0"/>
    <m/>
    <x v="0"/>
  </r>
  <r>
    <n v="114"/>
    <s v="Frank Wilson"/>
    <s v="Finance"/>
    <s v="First Aid"/>
    <s v="Safety"/>
    <d v="2026-01-31T00:00:00"/>
    <m/>
    <n v="36.5"/>
    <b v="0"/>
    <m/>
    <x v="1"/>
  </r>
  <r>
    <n v="115"/>
    <s v="Frank Wilson"/>
    <s v="Finance"/>
    <s v="Coaching Skills"/>
    <s v="Leadership"/>
    <d v="2025-05-09T00:00:00"/>
    <m/>
    <n v="35.200000000000003"/>
    <b v="0"/>
    <m/>
    <x v="1"/>
  </r>
  <r>
    <n v="116"/>
    <s v="Frank Wilson"/>
    <s v="Finance"/>
    <s v="Python for Analysts"/>
    <s v="Technical"/>
    <d v="2025-08-17T00:00:00"/>
    <d v="2025-09-20T00:00:00"/>
    <n v="23.9"/>
    <b v="1"/>
    <n v="98.8"/>
    <x v="3"/>
  </r>
  <r>
    <n v="117"/>
    <s v="Frank Wilson"/>
    <s v="Finance"/>
    <s v="SQL Basics"/>
    <s v="Technical"/>
    <d v="2025-03-11T00:00:00"/>
    <m/>
    <n v="31"/>
    <b v="0"/>
    <m/>
    <x v="0"/>
  </r>
  <r>
    <n v="118"/>
    <s v="Frank Wilson"/>
    <s v="Finance"/>
    <s v="Anti-Corruption Policy"/>
    <s v="Compliance"/>
    <d v="2025-01-03T00:00:00"/>
    <d v="2025-01-12T00:00:00"/>
    <n v="32"/>
    <b v="1"/>
    <n v="99.4"/>
    <x v="3"/>
  </r>
  <r>
    <n v="119"/>
    <s v="Grace Chen"/>
    <s v="HR"/>
    <s v="Change Management"/>
    <s v="Leadership"/>
    <d v="2026-03-17T00:00:00"/>
    <m/>
    <n v="7.1"/>
    <b v="0"/>
    <m/>
    <x v="1"/>
  </r>
  <r>
    <n v="120"/>
    <s v="Grace Chen"/>
    <s v="HR"/>
    <s v="Leadership Essentials"/>
    <s v="Leadership"/>
    <d v="2025-09-07T00:00:00"/>
    <m/>
    <n v="33.6"/>
    <b v="0"/>
    <n v="40.799999999999997"/>
    <x v="2"/>
  </r>
  <r>
    <n v="121"/>
    <s v="Grace Chen"/>
    <s v="HR"/>
    <s v="Hazard Identification"/>
    <s v="Safety"/>
    <d v="2025-01-22T00:00:00"/>
    <m/>
    <n v="29.7"/>
    <b v="0"/>
    <m/>
    <x v="0"/>
  </r>
  <r>
    <n v="122"/>
    <s v="Grace Chen"/>
    <s v="HR"/>
    <s v="Power BI Fundamentals"/>
    <s v="Technical"/>
    <d v="2025-12-15T00:00:00"/>
    <m/>
    <n v="32.799999999999997"/>
    <b v="0"/>
    <m/>
    <x v="0"/>
  </r>
  <r>
    <n v="123"/>
    <s v="Grace Chen"/>
    <s v="HR"/>
    <s v="Workplace Ergonomics"/>
    <s v="Safety"/>
    <d v="2025-01-23T00:00:00"/>
    <m/>
    <n v="34.9"/>
    <b v="0"/>
    <m/>
    <x v="0"/>
  </r>
  <r>
    <n v="124"/>
    <s v="Grace Chen"/>
    <s v="HR"/>
    <s v="Conflict Resolution"/>
    <s v="Soft Skills"/>
    <d v="2025-01-03T00:00:00"/>
    <m/>
    <n v="5.0999999999999996"/>
    <b v="0"/>
    <m/>
    <x v="0"/>
  </r>
  <r>
    <n v="125"/>
    <s v="Grace Chen"/>
    <s v="HR"/>
    <s v="Strategic Thinking"/>
    <s v="Leadership"/>
    <d v="2025-06-30T00:00:00"/>
    <m/>
    <n v="12.6"/>
    <b v="0"/>
    <m/>
    <x v="0"/>
  </r>
  <r>
    <n v="126"/>
    <s v="Grace Chen"/>
    <s v="HR"/>
    <s v="Workplace Ergonomics"/>
    <s v="Safety"/>
    <d v="2026-01-19T00:00:00"/>
    <m/>
    <n v="14.8"/>
    <b v="0"/>
    <m/>
    <x v="1"/>
  </r>
  <r>
    <n v="127"/>
    <s v="Grace Chen"/>
    <s v="HR"/>
    <s v="Team Collaboration"/>
    <s v="Soft Skills"/>
    <d v="2025-09-23T00:00:00"/>
    <d v="2025-10-15T00:00:00"/>
    <n v="35.9"/>
    <b v="0"/>
    <n v="63.4"/>
    <x v="3"/>
  </r>
  <r>
    <n v="128"/>
    <s v="Grace Chen"/>
    <s v="HR"/>
    <s v="Team Collaboration"/>
    <s v="Soft Skills"/>
    <d v="2025-06-03T00:00:00"/>
    <m/>
    <n v="40"/>
    <b v="0"/>
    <m/>
    <x v="1"/>
  </r>
  <r>
    <n v="129"/>
    <s v="Grace Chen"/>
    <s v="HR"/>
    <s v="Code of Conduct"/>
    <s v="Compliance"/>
    <d v="2025-05-14T00:00:00"/>
    <d v="2025-06-19T00:00:00"/>
    <n v="24.7"/>
    <b v="1"/>
    <n v="88"/>
    <x v="3"/>
  </r>
  <r>
    <n v="130"/>
    <s v="Grace Chen"/>
    <s v="HR"/>
    <s v="Coaching Skills"/>
    <s v="Leadership"/>
    <d v="2025-09-25T00:00:00"/>
    <m/>
    <n v="21.9"/>
    <b v="0"/>
    <n v="40.6"/>
    <x v="2"/>
  </r>
  <r>
    <n v="131"/>
    <s v="Grace Chen"/>
    <s v="HR"/>
    <s v="Communication Skills"/>
    <s v="Soft Skills"/>
    <d v="2025-01-31T00:00:00"/>
    <d v="2025-02-19T00:00:00"/>
    <n v="20.3"/>
    <b v="1"/>
    <n v="73.7"/>
    <x v="3"/>
  </r>
  <r>
    <n v="132"/>
    <s v="Grace Chen"/>
    <s v="HR"/>
    <s v="Conflict Resolution"/>
    <s v="Soft Skills"/>
    <d v="2025-07-09T00:00:00"/>
    <m/>
    <n v="23.5"/>
    <b v="0"/>
    <m/>
    <x v="1"/>
  </r>
  <r>
    <n v="133"/>
    <s v="Grace Chen"/>
    <s v="HR"/>
    <s v="Hazard Identification"/>
    <s v="Safety"/>
    <d v="2025-05-09T00:00:00"/>
    <d v="2025-05-27T00:00:00"/>
    <n v="15.7"/>
    <b v="1"/>
    <n v="81.2"/>
    <x v="3"/>
  </r>
  <r>
    <n v="134"/>
    <s v="Grace Chen"/>
    <s v="HR"/>
    <s v="Hazard Identification"/>
    <s v="Safety"/>
    <d v="2025-12-01T00:00:00"/>
    <m/>
    <n v="14.8"/>
    <b v="0"/>
    <m/>
    <x v="0"/>
  </r>
  <r>
    <n v="135"/>
    <s v="Grace Chen"/>
    <s v="HR"/>
    <s v="Strategic Thinking"/>
    <s v="Leadership"/>
    <d v="2025-04-19T00:00:00"/>
    <d v="2025-05-05T00:00:00"/>
    <n v="35.5"/>
    <b v="1"/>
    <n v="82.5"/>
    <x v="3"/>
  </r>
  <r>
    <n v="136"/>
    <s v="Grace Chen"/>
    <s v="HR"/>
    <s v="Conflict Resolution"/>
    <s v="Soft Skills"/>
    <d v="2025-12-23T00:00:00"/>
    <d v="2026-01-20T00:00:00"/>
    <n v="21.1"/>
    <b v="1"/>
    <n v="87"/>
    <x v="3"/>
  </r>
  <r>
    <n v="137"/>
    <s v="Grace Chen"/>
    <s v="HR"/>
    <s v="Anti-Corruption Policy"/>
    <s v="Compliance"/>
    <d v="2026-01-02T00:00:00"/>
    <m/>
    <n v="10.7"/>
    <b v="0"/>
    <m/>
    <x v="1"/>
  </r>
  <r>
    <n v="138"/>
    <s v="Grace Chen"/>
    <s v="HR"/>
    <s v="Fire Safety"/>
    <s v="Safety"/>
    <d v="2025-09-10T00:00:00"/>
    <m/>
    <n v="38.4"/>
    <b v="0"/>
    <m/>
    <x v="0"/>
  </r>
  <r>
    <n v="139"/>
    <s v="Grace Chen"/>
    <s v="HR"/>
    <s v="SQL Basics"/>
    <s v="Technical"/>
    <d v="2025-08-19T00:00:00"/>
    <d v="2025-09-30T00:00:00"/>
    <n v="38.6"/>
    <b v="0"/>
    <n v="61.6"/>
    <x v="3"/>
  </r>
  <r>
    <n v="140"/>
    <s v="Grace Chen"/>
    <s v="HR"/>
    <s v="Leadership Essentials"/>
    <s v="Leadership"/>
    <d v="2025-04-21T00:00:00"/>
    <d v="2025-05-18T00:00:00"/>
    <n v="22.6"/>
    <b v="1"/>
    <n v="62"/>
    <x v="3"/>
  </r>
  <r>
    <n v="141"/>
    <s v="Grace Chen"/>
    <s v="HR"/>
    <s v="SQL Basics"/>
    <s v="Technical"/>
    <d v="2025-02-20T00:00:00"/>
    <d v="2025-03-22T00:00:00"/>
    <n v="29.1"/>
    <b v="0"/>
    <n v="72.099999999999994"/>
    <x v="3"/>
  </r>
  <r>
    <n v="142"/>
    <s v="Henry Davis"/>
    <s v="IT"/>
    <s v="Change Management"/>
    <s v="Leadership"/>
    <d v="2025-04-14T00:00:00"/>
    <d v="2025-05-05T00:00:00"/>
    <n v="8"/>
    <b v="1"/>
    <n v="60"/>
    <x v="3"/>
  </r>
  <r>
    <n v="143"/>
    <s v="Henry Davis"/>
    <s v="IT"/>
    <s v="Power BI Fundamentals"/>
    <s v="Technical"/>
    <d v="2025-05-04T00:00:00"/>
    <d v="2025-05-28T00:00:00"/>
    <n v="19.5"/>
    <b v="1"/>
    <n v="93.6"/>
    <x v="3"/>
  </r>
  <r>
    <n v="144"/>
    <s v="Henry Davis"/>
    <s v="IT"/>
    <s v="Change Management"/>
    <s v="Leadership"/>
    <d v="2025-04-14T00:00:00"/>
    <d v="2025-05-01T00:00:00"/>
    <n v="21.3"/>
    <b v="1"/>
    <n v="69.099999999999994"/>
    <x v="3"/>
  </r>
  <r>
    <n v="145"/>
    <s v="Henry Davis"/>
    <s v="IT"/>
    <s v="Anti-Corruption Policy"/>
    <s v="Compliance"/>
    <d v="2025-04-22T00:00:00"/>
    <d v="2025-06-03T00:00:00"/>
    <n v="20.6"/>
    <b v="1"/>
    <n v="66"/>
    <x v="3"/>
  </r>
  <r>
    <n v="146"/>
    <s v="Henry Davis"/>
    <s v="IT"/>
    <s v="Data Privacy GDPR"/>
    <s v="Compliance"/>
    <d v="2025-05-24T00:00:00"/>
    <m/>
    <n v="4.3"/>
    <b v="0"/>
    <n v="30.9"/>
    <x v="2"/>
  </r>
  <r>
    <n v="147"/>
    <s v="Henry Davis"/>
    <s v="IT"/>
    <s v="Python for Analysts"/>
    <s v="Technical"/>
    <d v="2025-11-14T00:00:00"/>
    <d v="2025-12-13T00:00:00"/>
    <n v="24.5"/>
    <b v="1"/>
    <n v="94"/>
    <x v="3"/>
  </r>
  <r>
    <n v="148"/>
    <s v="Henry Davis"/>
    <s v="IT"/>
    <s v="Leadership Essentials"/>
    <s v="Leadership"/>
    <d v="2025-05-07T00:00:00"/>
    <m/>
    <n v="9.9"/>
    <b v="0"/>
    <m/>
    <x v="0"/>
  </r>
  <r>
    <n v="149"/>
    <s v="Henry Davis"/>
    <s v="IT"/>
    <s v="Hazard Identification"/>
    <s v="Safety"/>
    <d v="2026-03-24T00:00:00"/>
    <d v="2026-05-02T00:00:00"/>
    <n v="37.1"/>
    <b v="1"/>
    <n v="84.1"/>
    <x v="3"/>
  </r>
  <r>
    <n v="150"/>
    <s v="Henry Davis"/>
    <s v="IT"/>
    <s v="Hazard Identification"/>
    <s v="Safety"/>
    <d v="2025-02-05T00:00:00"/>
    <m/>
    <n v="15.5"/>
    <b v="0"/>
    <m/>
    <x v="1"/>
  </r>
  <r>
    <n v="151"/>
    <s v="Henry Davis"/>
    <s v="IT"/>
    <s v="Strategic Thinking"/>
    <s v="Leadership"/>
    <d v="2025-02-20T00:00:00"/>
    <d v="2025-03-21T00:00:00"/>
    <n v="18.899999999999999"/>
    <b v="1"/>
    <n v="63.1"/>
    <x v="3"/>
  </r>
  <r>
    <n v="152"/>
    <s v="Henry Davis"/>
    <s v="IT"/>
    <s v="Fire Safety"/>
    <s v="Safety"/>
    <d v="2025-11-28T00:00:00"/>
    <d v="2025-12-16T00:00:00"/>
    <n v="10"/>
    <b v="1"/>
    <n v="88.3"/>
    <x v="3"/>
  </r>
  <r>
    <n v="153"/>
    <s v="Henry Davis"/>
    <s v="IT"/>
    <s v="Team Collaboration"/>
    <s v="Soft Skills"/>
    <d v="2026-01-07T00:00:00"/>
    <m/>
    <n v="25.4"/>
    <b v="0"/>
    <m/>
    <x v="1"/>
  </r>
  <r>
    <n v="154"/>
    <s v="Henry Davis"/>
    <s v="IT"/>
    <s v="Communication Skills"/>
    <s v="Soft Skills"/>
    <d v="2025-12-16T00:00:00"/>
    <m/>
    <n v="10.199999999999999"/>
    <b v="0"/>
    <m/>
    <x v="0"/>
  </r>
  <r>
    <n v="155"/>
    <s v="Henry Davis"/>
    <s v="IT"/>
    <s v="Code of Conduct"/>
    <s v="Compliance"/>
    <d v="2025-02-24T00:00:00"/>
    <d v="2025-04-09T00:00:00"/>
    <n v="4.5999999999999996"/>
    <b v="1"/>
    <n v="83.4"/>
    <x v="3"/>
  </r>
  <r>
    <n v="156"/>
    <s v="Henry Davis"/>
    <s v="IT"/>
    <s v="Communication Skills"/>
    <s v="Soft Skills"/>
    <d v="2025-09-15T00:00:00"/>
    <m/>
    <n v="23.3"/>
    <b v="0"/>
    <m/>
    <x v="1"/>
  </r>
  <r>
    <n v="157"/>
    <s v="Henry Davis"/>
    <s v="IT"/>
    <s v="Power BI Fundamentals"/>
    <s v="Technical"/>
    <d v="2025-03-24T00:00:00"/>
    <d v="2025-04-08T00:00:00"/>
    <n v="25.4"/>
    <b v="1"/>
    <n v="86.5"/>
    <x v="3"/>
  </r>
  <r>
    <n v="158"/>
    <s v="Henry Davis"/>
    <s v="IT"/>
    <s v="Hazard Identification"/>
    <s v="Safety"/>
    <d v="2025-03-27T00:00:00"/>
    <m/>
    <n v="12.3"/>
    <b v="0"/>
    <m/>
    <x v="0"/>
  </r>
  <r>
    <n v="159"/>
    <s v="Henry Davis"/>
    <s v="IT"/>
    <s v="Hazard Identification"/>
    <s v="Safety"/>
    <d v="2026-01-13T00:00:00"/>
    <m/>
    <n v="23.9"/>
    <b v="0"/>
    <m/>
    <x v="0"/>
  </r>
  <r>
    <n v="160"/>
    <s v="Henry Davis"/>
    <s v="IT"/>
    <s v="Change Management"/>
    <s v="Leadership"/>
    <d v="2025-12-05T00:00:00"/>
    <m/>
    <n v="24.4"/>
    <b v="0"/>
    <m/>
    <x v="0"/>
  </r>
  <r>
    <n v="161"/>
    <s v="Henry Davis"/>
    <s v="IT"/>
    <s v="Presentation Skills"/>
    <s v="Soft Skills"/>
    <d v="2025-11-19T00:00:00"/>
    <d v="2026-01-02T00:00:00"/>
    <n v="22.5"/>
    <b v="0"/>
    <n v="91.8"/>
    <x v="3"/>
  </r>
  <r>
    <n v="162"/>
    <s v="Isabella Taylor"/>
    <s v="Operations"/>
    <s v="Change Management"/>
    <s v="Leadership"/>
    <d v="2025-07-03T00:00:00"/>
    <m/>
    <n v="18.2"/>
    <b v="0"/>
    <m/>
    <x v="1"/>
  </r>
  <r>
    <n v="163"/>
    <s v="Isabella Taylor"/>
    <s v="Operations"/>
    <s v="Python for Analysts"/>
    <s v="Technical"/>
    <d v="2025-11-04T00:00:00"/>
    <m/>
    <n v="10.4"/>
    <b v="0"/>
    <n v="54.9"/>
    <x v="2"/>
  </r>
  <r>
    <n v="164"/>
    <s v="Isabella Taylor"/>
    <s v="Operations"/>
    <s v="SQL Basics"/>
    <s v="Technical"/>
    <d v="2026-02-15T00:00:00"/>
    <d v="2026-03-01T00:00:00"/>
    <n v="30.4"/>
    <b v="1"/>
    <n v="75.2"/>
    <x v="3"/>
  </r>
  <r>
    <n v="165"/>
    <s v="Isabella Taylor"/>
    <s v="Operations"/>
    <s v="Conflict Resolution"/>
    <s v="Soft Skills"/>
    <d v="2025-08-21T00:00:00"/>
    <m/>
    <n v="32.200000000000003"/>
    <b v="0"/>
    <m/>
    <x v="0"/>
  </r>
  <r>
    <n v="166"/>
    <s v="Isabella Taylor"/>
    <s v="Operations"/>
    <s v="Health Regulations"/>
    <s v="Compliance"/>
    <d v="2025-09-14T00:00:00"/>
    <m/>
    <n v="35.200000000000003"/>
    <b v="0"/>
    <n v="32.9"/>
    <x v="2"/>
  </r>
  <r>
    <n v="167"/>
    <s v="Isabella Taylor"/>
    <s v="Operations"/>
    <s v="Python for Analysts"/>
    <s v="Technical"/>
    <d v="2025-04-02T00:00:00"/>
    <d v="2025-04-24T00:00:00"/>
    <n v="39.299999999999997"/>
    <b v="1"/>
    <n v="88.8"/>
    <x v="3"/>
  </r>
  <r>
    <n v="168"/>
    <s v="Isabella Taylor"/>
    <s v="Operations"/>
    <s v="Health Regulations"/>
    <s v="Compliance"/>
    <d v="2026-02-04T00:00:00"/>
    <d v="2026-03-06T00:00:00"/>
    <n v="25.9"/>
    <b v="1"/>
    <n v="76.400000000000006"/>
    <x v="3"/>
  </r>
  <r>
    <n v="169"/>
    <s v="Isabella Taylor"/>
    <s v="Operations"/>
    <s v="Communication Skills"/>
    <s v="Soft Skills"/>
    <d v="2025-09-28T00:00:00"/>
    <d v="2025-10-26T00:00:00"/>
    <n v="11.1"/>
    <b v="1"/>
    <n v="75.8"/>
    <x v="3"/>
  </r>
  <r>
    <n v="170"/>
    <s v="Isabella Taylor"/>
    <s v="Operations"/>
    <s v="Hazard Identification"/>
    <s v="Safety"/>
    <d v="2025-02-28T00:00:00"/>
    <m/>
    <n v="16.2"/>
    <b v="0"/>
    <m/>
    <x v="0"/>
  </r>
  <r>
    <n v="171"/>
    <s v="Isabella Taylor"/>
    <s v="Operations"/>
    <s v="Python for Analysts"/>
    <s v="Technical"/>
    <d v="2026-03-06T00:00:00"/>
    <d v="2026-04-09T00:00:00"/>
    <n v="31.1"/>
    <b v="1"/>
    <n v="71.099999999999994"/>
    <x v="3"/>
  </r>
  <r>
    <n v="172"/>
    <s v="Isabella Taylor"/>
    <s v="Operations"/>
    <s v="Conflict Resolution"/>
    <s v="Soft Skills"/>
    <d v="2025-04-01T00:00:00"/>
    <d v="2025-05-15T00:00:00"/>
    <n v="20.9"/>
    <b v="1"/>
    <n v="61.8"/>
    <x v="3"/>
  </r>
  <r>
    <n v="173"/>
    <s v="Isabella Taylor"/>
    <s v="Operations"/>
    <s v="Python for Analysts"/>
    <s v="Technical"/>
    <d v="2025-08-05T00:00:00"/>
    <m/>
    <n v="21.8"/>
    <b v="0"/>
    <m/>
    <x v="0"/>
  </r>
  <r>
    <n v="174"/>
    <s v="Isabella Taylor"/>
    <s v="Operations"/>
    <s v="Hazard Identification"/>
    <s v="Safety"/>
    <d v="2025-02-19T00:00:00"/>
    <d v="2025-03-05T00:00:00"/>
    <n v="31.5"/>
    <b v="1"/>
    <n v="96.1"/>
    <x v="3"/>
  </r>
  <r>
    <n v="175"/>
    <s v="Isabella Taylor"/>
    <s v="Operations"/>
    <s v="Communication Skills"/>
    <s v="Soft Skills"/>
    <d v="2026-03-20T00:00:00"/>
    <m/>
    <n v="6.6"/>
    <b v="0"/>
    <n v="38.799999999999997"/>
    <x v="2"/>
  </r>
  <r>
    <n v="176"/>
    <s v="Isabella Taylor"/>
    <s v="Operations"/>
    <s v="Fire Safety"/>
    <s v="Safety"/>
    <d v="2025-09-06T00:00:00"/>
    <m/>
    <n v="26.2"/>
    <b v="0"/>
    <m/>
    <x v="1"/>
  </r>
  <r>
    <n v="177"/>
    <s v="Isabella Taylor"/>
    <s v="Operations"/>
    <s v="Excel Advanced"/>
    <s v="Technical"/>
    <d v="2025-09-02T00:00:00"/>
    <d v="2025-09-27T00:00:00"/>
    <n v="9.8000000000000007"/>
    <b v="1"/>
    <n v="83.4"/>
    <x v="3"/>
  </r>
  <r>
    <n v="178"/>
    <s v="Isabella Taylor"/>
    <s v="Operations"/>
    <s v="Power BI Fundamentals"/>
    <s v="Technical"/>
    <d v="2025-11-27T00:00:00"/>
    <d v="2025-12-31T00:00:00"/>
    <n v="18.600000000000001"/>
    <b v="1"/>
    <n v="90.9"/>
    <x v="3"/>
  </r>
  <r>
    <n v="179"/>
    <s v="Isabella Taylor"/>
    <s v="Operations"/>
    <s v="Communication Skills"/>
    <s v="Soft Skills"/>
    <d v="2025-04-04T00:00:00"/>
    <d v="2025-05-03T00:00:00"/>
    <n v="36.299999999999997"/>
    <b v="0"/>
    <n v="70.599999999999994"/>
    <x v="3"/>
  </r>
  <r>
    <n v="180"/>
    <s v="Isabella Taylor"/>
    <s v="Operations"/>
    <s v="Fire Safety"/>
    <s v="Safety"/>
    <d v="2026-01-16T00:00:00"/>
    <d v="2026-02-14T00:00:00"/>
    <n v="20.2"/>
    <b v="0"/>
    <n v="88.4"/>
    <x v="3"/>
  </r>
  <r>
    <n v="181"/>
    <s v="Isabella Taylor"/>
    <s v="Operations"/>
    <s v="Python for Analysts"/>
    <s v="Technical"/>
    <d v="2026-01-19T00:00:00"/>
    <d v="2026-02-15T00:00:00"/>
    <n v="23.1"/>
    <b v="0"/>
    <n v="69.8"/>
    <x v="3"/>
  </r>
  <r>
    <n v="182"/>
    <s v="James Anderson"/>
    <s v="Sales"/>
    <s v="Communication Skills"/>
    <s v="Soft Skills"/>
    <d v="2025-01-17T00:00:00"/>
    <m/>
    <n v="32"/>
    <b v="0"/>
    <m/>
    <x v="1"/>
  </r>
  <r>
    <n v="183"/>
    <s v="James Anderson"/>
    <s v="Sales"/>
    <s v="Team Collaboration"/>
    <s v="Soft Skills"/>
    <d v="2025-05-07T00:00:00"/>
    <d v="2025-05-31T00:00:00"/>
    <n v="23.3"/>
    <b v="1"/>
    <n v="65.3"/>
    <x v="3"/>
  </r>
  <r>
    <n v="184"/>
    <s v="James Anderson"/>
    <s v="Sales"/>
    <s v="Communication Skills"/>
    <s v="Soft Skills"/>
    <d v="2025-03-24T00:00:00"/>
    <d v="2025-05-06T00:00:00"/>
    <n v="38.299999999999997"/>
    <b v="0"/>
    <n v="82.2"/>
    <x v="3"/>
  </r>
  <r>
    <n v="185"/>
    <s v="James Anderson"/>
    <s v="Sales"/>
    <s v="Fire Safety"/>
    <s v="Safety"/>
    <d v="2025-03-15T00:00:00"/>
    <d v="2025-03-30T00:00:00"/>
    <n v="8.3000000000000007"/>
    <b v="1"/>
    <n v="72.900000000000006"/>
    <x v="3"/>
  </r>
  <r>
    <n v="186"/>
    <s v="James Anderson"/>
    <s v="Sales"/>
    <s v="First Aid"/>
    <s v="Safety"/>
    <d v="2025-02-02T00:00:00"/>
    <d v="2025-02-25T00:00:00"/>
    <n v="23.1"/>
    <b v="0"/>
    <n v="99.5"/>
    <x v="3"/>
  </r>
  <r>
    <n v="187"/>
    <s v="James Anderson"/>
    <s v="Sales"/>
    <s v="SQL Basics"/>
    <s v="Technical"/>
    <d v="2026-01-03T00:00:00"/>
    <d v="2026-02-06T00:00:00"/>
    <n v="9.5"/>
    <b v="1"/>
    <n v="73.7"/>
    <x v="3"/>
  </r>
  <r>
    <n v="188"/>
    <s v="James Anderson"/>
    <s v="Sales"/>
    <s v="Leadership Essentials"/>
    <s v="Leadership"/>
    <d v="2026-02-24T00:00:00"/>
    <m/>
    <n v="26.4"/>
    <b v="0"/>
    <m/>
    <x v="1"/>
  </r>
  <r>
    <n v="189"/>
    <s v="James Anderson"/>
    <s v="Sales"/>
    <s v="SQL Basics"/>
    <s v="Technical"/>
    <d v="2025-10-14T00:00:00"/>
    <d v="2025-11-19T00:00:00"/>
    <n v="37.299999999999997"/>
    <b v="1"/>
    <n v="85.6"/>
    <x v="3"/>
  </r>
  <r>
    <n v="190"/>
    <s v="James Anderson"/>
    <s v="Sales"/>
    <s v="Data Privacy GDPR"/>
    <s v="Compliance"/>
    <d v="2025-09-06T00:00:00"/>
    <d v="2025-10-20T00:00:00"/>
    <n v="6.2"/>
    <b v="1"/>
    <n v="65.2"/>
    <x v="3"/>
  </r>
  <r>
    <n v="191"/>
    <s v="James Anderson"/>
    <s v="Sales"/>
    <s v="Leadership Essentials"/>
    <s v="Leadership"/>
    <d v="2025-12-21T00:00:00"/>
    <d v="2026-01-20T00:00:00"/>
    <n v="37.200000000000003"/>
    <b v="1"/>
    <n v="89"/>
    <x v="3"/>
  </r>
  <r>
    <n v="192"/>
    <s v="James Anderson"/>
    <s v="Sales"/>
    <s v="Anti-Corruption Policy"/>
    <s v="Compliance"/>
    <d v="2025-05-17T00:00:00"/>
    <m/>
    <n v="21"/>
    <b v="0"/>
    <m/>
    <x v="0"/>
  </r>
  <r>
    <n v="193"/>
    <s v="James Anderson"/>
    <s v="Sales"/>
    <s v="Health Regulations"/>
    <s v="Compliance"/>
    <d v="2025-08-25T00:00:00"/>
    <d v="2025-09-12T00:00:00"/>
    <n v="28.4"/>
    <b v="1"/>
    <n v="61.6"/>
    <x v="3"/>
  </r>
  <r>
    <n v="194"/>
    <s v="James Anderson"/>
    <s v="Sales"/>
    <s v="Workplace Ergonomics"/>
    <s v="Safety"/>
    <d v="2025-05-11T00:00:00"/>
    <m/>
    <n v="39.700000000000003"/>
    <b v="0"/>
    <m/>
    <x v="0"/>
  </r>
  <r>
    <n v="195"/>
    <s v="James Anderson"/>
    <s v="Sales"/>
    <s v="Coaching Skills"/>
    <s v="Leadership"/>
    <d v="2025-12-04T00:00:00"/>
    <d v="2026-01-04T00:00:00"/>
    <n v="38.1"/>
    <b v="1"/>
    <n v="89.5"/>
    <x v="3"/>
  </r>
  <r>
    <n v="196"/>
    <s v="James Anderson"/>
    <s v="Sales"/>
    <s v="Conflict Resolution"/>
    <s v="Soft Skills"/>
    <d v="2026-02-07T00:00:00"/>
    <m/>
    <n v="22.3"/>
    <b v="0"/>
    <m/>
    <x v="0"/>
  </r>
  <r>
    <n v="197"/>
    <s v="James Anderson"/>
    <s v="Sales"/>
    <s v="Health Regulations"/>
    <s v="Compliance"/>
    <d v="2025-05-29T00:00:00"/>
    <m/>
    <n v="16.3"/>
    <b v="0"/>
    <m/>
    <x v="0"/>
  </r>
  <r>
    <n v="198"/>
    <s v="James Anderson"/>
    <s v="Sales"/>
    <s v="Anti-Corruption Policy"/>
    <s v="Compliance"/>
    <d v="2025-07-28T00:00:00"/>
    <d v="2025-08-19T00:00:00"/>
    <n v="7.3"/>
    <b v="1"/>
    <n v="86.2"/>
    <x v="3"/>
  </r>
  <r>
    <n v="199"/>
    <s v="James Anderson"/>
    <s v="Sales"/>
    <s v="Code of Conduct"/>
    <s v="Compliance"/>
    <d v="2025-05-18T00:00:00"/>
    <d v="2025-05-23T00:00:00"/>
    <n v="11.1"/>
    <b v="1"/>
    <n v="94.4"/>
    <x v="3"/>
  </r>
  <r>
    <n v="200"/>
    <s v="James Anderson"/>
    <s v="Sales"/>
    <s v="Data Privacy GDPR"/>
    <s v="Compliance"/>
    <d v="2026-02-15T00:00:00"/>
    <d v="2026-03-18T00:00:00"/>
    <n v="13.9"/>
    <b v="0"/>
    <n v="71.3"/>
    <x v="3"/>
  </r>
  <r>
    <n v="201"/>
    <s v="James Anderson"/>
    <s v="Sales"/>
    <s v="Team Collaboration"/>
    <s v="Soft Skills"/>
    <d v="2026-02-16T00:00:00"/>
    <d v="2026-03-29T00:00:00"/>
    <n v="23.5"/>
    <b v="1"/>
    <n v="98.1"/>
    <x v="3"/>
  </r>
  <r>
    <n v="202"/>
    <s v="James Anderson"/>
    <s v="Sales"/>
    <s v="Coaching Skills"/>
    <s v="Leadership"/>
    <d v="2025-12-02T00:00:00"/>
    <m/>
    <n v="15.5"/>
    <b v="0"/>
    <m/>
    <x v="0"/>
  </r>
  <r>
    <n v="203"/>
    <s v="James Anderson"/>
    <s v="Sales"/>
    <s v="Health Regulations"/>
    <s v="Compliance"/>
    <d v="2025-08-22T00:00:00"/>
    <m/>
    <n v="4.8"/>
    <b v="0"/>
    <m/>
    <x v="0"/>
  </r>
  <r>
    <n v="204"/>
    <s v="James Anderson"/>
    <s v="Sales"/>
    <s v="Change Management"/>
    <s v="Leadership"/>
    <d v="2025-11-12T00:00:00"/>
    <m/>
    <n v="20"/>
    <b v="0"/>
    <m/>
    <x v="0"/>
  </r>
  <r>
    <n v="205"/>
    <s v="Karen Thomas"/>
    <s v="Finance"/>
    <s v="Hazard Identification"/>
    <s v="Safety"/>
    <d v="2026-01-20T00:00:00"/>
    <d v="2026-02-07T00:00:00"/>
    <n v="21.6"/>
    <b v="1"/>
    <n v="73.400000000000006"/>
    <x v="3"/>
  </r>
  <r>
    <n v="206"/>
    <s v="Karen Thomas"/>
    <s v="Finance"/>
    <s v="Presentation Skills"/>
    <s v="Soft Skills"/>
    <d v="2025-04-20T00:00:00"/>
    <m/>
    <n v="34.4"/>
    <b v="0"/>
    <n v="51.6"/>
    <x v="2"/>
  </r>
  <r>
    <n v="207"/>
    <s v="Karen Thomas"/>
    <s v="Finance"/>
    <s v="Hazard Identification"/>
    <s v="Safety"/>
    <d v="2025-12-11T00:00:00"/>
    <d v="2025-12-25T00:00:00"/>
    <n v="20.399999999999999"/>
    <b v="0"/>
    <n v="85.8"/>
    <x v="3"/>
  </r>
  <r>
    <n v="208"/>
    <s v="Karen Thomas"/>
    <s v="Finance"/>
    <s v="Code of Conduct"/>
    <s v="Compliance"/>
    <d v="2025-05-11T00:00:00"/>
    <m/>
    <n v="18.8"/>
    <b v="0"/>
    <m/>
    <x v="0"/>
  </r>
  <r>
    <n v="209"/>
    <s v="Karen Thomas"/>
    <s v="Finance"/>
    <s v="Conflict Resolution"/>
    <s v="Soft Skills"/>
    <d v="2025-04-09T00:00:00"/>
    <m/>
    <n v="10"/>
    <b v="0"/>
    <m/>
    <x v="1"/>
  </r>
  <r>
    <n v="210"/>
    <s v="Karen Thomas"/>
    <s v="Finance"/>
    <s v="Workplace Ergonomics"/>
    <s v="Safety"/>
    <d v="2025-01-04T00:00:00"/>
    <m/>
    <n v="34.200000000000003"/>
    <b v="0"/>
    <m/>
    <x v="1"/>
  </r>
  <r>
    <n v="211"/>
    <s v="Karen Thomas"/>
    <s v="Finance"/>
    <s v="Communication Skills"/>
    <s v="Soft Skills"/>
    <d v="2025-03-04T00:00:00"/>
    <d v="2025-04-05T00:00:00"/>
    <n v="18"/>
    <b v="1"/>
    <n v="67.7"/>
    <x v="3"/>
  </r>
  <r>
    <n v="212"/>
    <s v="Karen Thomas"/>
    <s v="Finance"/>
    <s v="Health Regulations"/>
    <s v="Compliance"/>
    <d v="2025-03-11T00:00:00"/>
    <m/>
    <n v="37.6"/>
    <b v="0"/>
    <m/>
    <x v="0"/>
  </r>
  <r>
    <n v="213"/>
    <s v="Karen Thomas"/>
    <s v="Finance"/>
    <s v="Change Management"/>
    <s v="Leadership"/>
    <d v="2026-03-18T00:00:00"/>
    <d v="2026-04-17T00:00:00"/>
    <n v="32.5"/>
    <b v="1"/>
    <n v="95.4"/>
    <x v="3"/>
  </r>
  <r>
    <n v="214"/>
    <s v="Karen Thomas"/>
    <s v="Finance"/>
    <s v="Python for Analysts"/>
    <s v="Technical"/>
    <d v="2025-10-26T00:00:00"/>
    <m/>
    <n v="10.3"/>
    <b v="0"/>
    <m/>
    <x v="1"/>
  </r>
  <r>
    <n v="215"/>
    <s v="Karen Thomas"/>
    <s v="Finance"/>
    <s v="Python for Analysts"/>
    <s v="Technical"/>
    <d v="2025-07-10T00:00:00"/>
    <d v="2025-08-04T00:00:00"/>
    <n v="28.7"/>
    <b v="1"/>
    <n v="99.7"/>
    <x v="3"/>
  </r>
  <r>
    <n v="216"/>
    <s v="Karen Thomas"/>
    <s v="Finance"/>
    <s v="Leadership Essentials"/>
    <s v="Leadership"/>
    <d v="2026-03-26T00:00:00"/>
    <d v="2026-04-01T00:00:00"/>
    <n v="30.2"/>
    <b v="1"/>
    <n v="72.7"/>
    <x v="3"/>
  </r>
  <r>
    <n v="217"/>
    <s v="Karen Thomas"/>
    <s v="Finance"/>
    <s v="Change Management"/>
    <s v="Leadership"/>
    <d v="2025-07-27T00:00:00"/>
    <d v="2025-08-08T00:00:00"/>
    <n v="28.2"/>
    <b v="1"/>
    <n v="91.5"/>
    <x v="3"/>
  </r>
  <r>
    <n v="218"/>
    <s v="Karen Thomas"/>
    <s v="Finance"/>
    <s v="Coaching Skills"/>
    <s v="Leadership"/>
    <d v="2026-01-10T00:00:00"/>
    <d v="2026-02-20T00:00:00"/>
    <n v="15.6"/>
    <b v="1"/>
    <n v="92.1"/>
    <x v="3"/>
  </r>
  <r>
    <n v="219"/>
    <s v="Karen Thomas"/>
    <s v="Finance"/>
    <s v="Fire Safety"/>
    <s v="Safety"/>
    <d v="2025-08-10T00:00:00"/>
    <d v="2025-08-23T00:00:00"/>
    <n v="35.6"/>
    <b v="0"/>
    <n v="66.099999999999994"/>
    <x v="3"/>
  </r>
  <r>
    <n v="220"/>
    <s v="Karen Thomas"/>
    <s v="Finance"/>
    <s v="Workplace Ergonomics"/>
    <s v="Safety"/>
    <d v="2025-08-29T00:00:00"/>
    <d v="2025-09-14T00:00:00"/>
    <n v="4"/>
    <b v="1"/>
    <n v="91"/>
    <x v="3"/>
  </r>
  <r>
    <n v="221"/>
    <s v="Karen Thomas"/>
    <s v="Finance"/>
    <s v="Python for Analysts"/>
    <s v="Technical"/>
    <d v="2025-01-16T00:00:00"/>
    <m/>
    <n v="10"/>
    <b v="0"/>
    <m/>
    <x v="1"/>
  </r>
  <r>
    <n v="222"/>
    <s v="Karen Thomas"/>
    <s v="Finance"/>
    <s v="Data Privacy GDPR"/>
    <s v="Compliance"/>
    <d v="2025-03-08T00:00:00"/>
    <m/>
    <n v="23.4"/>
    <b v="0"/>
    <m/>
    <x v="1"/>
  </r>
  <r>
    <n v="223"/>
    <s v="Karen Thomas"/>
    <s v="Finance"/>
    <s v="Workplace Ergonomics"/>
    <s v="Safety"/>
    <d v="2026-01-04T00:00:00"/>
    <d v="2026-01-10T00:00:00"/>
    <n v="30.6"/>
    <b v="1"/>
    <n v="90.1"/>
    <x v="3"/>
  </r>
  <r>
    <n v="224"/>
    <s v="Liam Jackson"/>
    <s v="HR"/>
    <s v="Team Collaboration"/>
    <s v="Soft Skills"/>
    <d v="2025-08-31T00:00:00"/>
    <d v="2025-10-05T00:00:00"/>
    <n v="17.2"/>
    <b v="0"/>
    <n v="68.3"/>
    <x v="3"/>
  </r>
  <r>
    <n v="225"/>
    <s v="Liam Jackson"/>
    <s v="HR"/>
    <s v="Health Regulations"/>
    <s v="Compliance"/>
    <d v="2026-03-09T00:00:00"/>
    <d v="2026-03-18T00:00:00"/>
    <n v="10.3"/>
    <b v="0"/>
    <n v="92.9"/>
    <x v="3"/>
  </r>
  <r>
    <n v="226"/>
    <s v="Liam Jackson"/>
    <s v="HR"/>
    <s v="Excel Advanced"/>
    <s v="Technical"/>
    <d v="2025-11-11T00:00:00"/>
    <d v="2025-12-25T00:00:00"/>
    <n v="27.5"/>
    <b v="1"/>
    <n v="75.7"/>
    <x v="3"/>
  </r>
  <r>
    <n v="227"/>
    <s v="Liam Jackson"/>
    <s v="HR"/>
    <s v="SQL Basics"/>
    <s v="Technical"/>
    <d v="2026-03-05T00:00:00"/>
    <m/>
    <n v="10.9"/>
    <b v="0"/>
    <m/>
    <x v="1"/>
  </r>
  <r>
    <n v="228"/>
    <s v="Liam Jackson"/>
    <s v="HR"/>
    <s v="Data Privacy GDPR"/>
    <s v="Compliance"/>
    <d v="2025-08-01T00:00:00"/>
    <d v="2025-09-01T00:00:00"/>
    <n v="30.5"/>
    <b v="1"/>
    <n v="82"/>
    <x v="3"/>
  </r>
  <r>
    <n v="229"/>
    <s v="Liam Jackson"/>
    <s v="HR"/>
    <s v="Presentation Skills"/>
    <s v="Soft Skills"/>
    <d v="2025-06-16T00:00:00"/>
    <d v="2025-07-19T00:00:00"/>
    <n v="5.8"/>
    <b v="1"/>
    <n v="79.400000000000006"/>
    <x v="3"/>
  </r>
  <r>
    <n v="230"/>
    <s v="Liam Jackson"/>
    <s v="HR"/>
    <s v="Anti-Corruption Policy"/>
    <s v="Compliance"/>
    <d v="2025-05-10T00:00:00"/>
    <m/>
    <n v="33.799999999999997"/>
    <b v="0"/>
    <m/>
    <x v="1"/>
  </r>
  <r>
    <n v="231"/>
    <s v="Liam Jackson"/>
    <s v="HR"/>
    <s v="Team Collaboration"/>
    <s v="Soft Skills"/>
    <d v="2025-03-12T00:00:00"/>
    <d v="2025-04-01T00:00:00"/>
    <n v="22.8"/>
    <b v="1"/>
    <n v="82.6"/>
    <x v="3"/>
  </r>
  <r>
    <n v="232"/>
    <s v="Liam Jackson"/>
    <s v="HR"/>
    <s v="Code of Conduct"/>
    <s v="Compliance"/>
    <d v="2026-01-15T00:00:00"/>
    <d v="2026-01-22T00:00:00"/>
    <n v="11.6"/>
    <b v="1"/>
    <n v="85.9"/>
    <x v="3"/>
  </r>
  <r>
    <n v="233"/>
    <s v="Liam Jackson"/>
    <s v="HR"/>
    <s v="Data Privacy GDPR"/>
    <s v="Compliance"/>
    <d v="2026-01-13T00:00:00"/>
    <d v="2026-02-22T00:00:00"/>
    <n v="21.1"/>
    <b v="1"/>
    <n v="62.4"/>
    <x v="3"/>
  </r>
  <r>
    <n v="234"/>
    <s v="Liam Jackson"/>
    <s v="HR"/>
    <s v="Communication Skills"/>
    <s v="Soft Skills"/>
    <d v="2025-08-02T00:00:00"/>
    <d v="2025-08-30T00:00:00"/>
    <n v="28.5"/>
    <b v="0"/>
    <n v="64"/>
    <x v="3"/>
  </r>
  <r>
    <n v="235"/>
    <s v="Liam Jackson"/>
    <s v="HR"/>
    <s v="Leadership Essentials"/>
    <s v="Leadership"/>
    <d v="2025-02-17T00:00:00"/>
    <d v="2025-03-10T00:00:00"/>
    <n v="8.8000000000000007"/>
    <b v="1"/>
    <n v="72.8"/>
    <x v="3"/>
  </r>
  <r>
    <n v="236"/>
    <s v="Liam Jackson"/>
    <s v="HR"/>
    <s v="Conflict Resolution"/>
    <s v="Soft Skills"/>
    <d v="2025-04-20T00:00:00"/>
    <d v="2025-04-27T00:00:00"/>
    <n v="13.5"/>
    <b v="1"/>
    <n v="68.2"/>
    <x v="3"/>
  </r>
  <r>
    <n v="237"/>
    <s v="Liam Jackson"/>
    <s v="HR"/>
    <s v="Hazard Identification"/>
    <s v="Safety"/>
    <d v="2025-01-15T00:00:00"/>
    <d v="2025-02-26T00:00:00"/>
    <n v="7.9"/>
    <b v="0"/>
    <n v="84.8"/>
    <x v="3"/>
  </r>
  <r>
    <n v="238"/>
    <s v="Liam Jackson"/>
    <s v="HR"/>
    <s v="Leadership Essentials"/>
    <s v="Leadership"/>
    <d v="2025-03-31T00:00:00"/>
    <m/>
    <n v="33.5"/>
    <b v="0"/>
    <m/>
    <x v="1"/>
  </r>
  <r>
    <n v="239"/>
    <s v="Liam Jackson"/>
    <s v="HR"/>
    <s v="Code of Conduct"/>
    <s v="Compliance"/>
    <d v="2025-03-06T00:00:00"/>
    <d v="2025-04-19T00:00:00"/>
    <n v="18.399999999999999"/>
    <b v="1"/>
    <n v="97.9"/>
    <x v="3"/>
  </r>
  <r>
    <n v="240"/>
    <s v="Liam Jackson"/>
    <s v="HR"/>
    <s v="Power BI Fundamentals"/>
    <s v="Technical"/>
    <d v="2026-02-17T00:00:00"/>
    <d v="2026-03-26T00:00:00"/>
    <n v="39.200000000000003"/>
    <b v="1"/>
    <n v="79.7"/>
    <x v="3"/>
  </r>
  <r>
    <n v="241"/>
    <s v="Liam Jackson"/>
    <s v="HR"/>
    <s v="Presentation Skills"/>
    <s v="Soft Skills"/>
    <d v="2026-03-07T00:00:00"/>
    <d v="2026-03-27T00:00:00"/>
    <n v="25.1"/>
    <b v="0"/>
    <n v="72.8"/>
    <x v="3"/>
  </r>
  <r>
    <n v="242"/>
    <s v="Maria Harris"/>
    <s v="IT"/>
    <s v="SQL Basics"/>
    <s v="Technical"/>
    <d v="2025-02-16T00:00:00"/>
    <m/>
    <n v="16.899999999999999"/>
    <b v="0"/>
    <m/>
    <x v="0"/>
  </r>
  <r>
    <n v="243"/>
    <s v="Maria Harris"/>
    <s v="IT"/>
    <s v="First Aid"/>
    <s v="Safety"/>
    <d v="2025-07-03T00:00:00"/>
    <m/>
    <n v="37.4"/>
    <b v="0"/>
    <m/>
    <x v="0"/>
  </r>
  <r>
    <n v="244"/>
    <s v="Maria Harris"/>
    <s v="IT"/>
    <s v="Strategic Thinking"/>
    <s v="Leadership"/>
    <d v="2026-02-24T00:00:00"/>
    <d v="2026-03-30T00:00:00"/>
    <n v="20.2"/>
    <b v="1"/>
    <n v="78.5"/>
    <x v="3"/>
  </r>
  <r>
    <n v="245"/>
    <s v="Maria Harris"/>
    <s v="IT"/>
    <s v="Conflict Resolution"/>
    <s v="Soft Skills"/>
    <d v="2025-10-24T00:00:00"/>
    <d v="2025-11-12T00:00:00"/>
    <n v="16.399999999999999"/>
    <b v="1"/>
    <n v="63.8"/>
    <x v="3"/>
  </r>
  <r>
    <n v="246"/>
    <s v="Maria Harris"/>
    <s v="IT"/>
    <s v="Change Management"/>
    <s v="Leadership"/>
    <d v="2025-03-16T00:00:00"/>
    <d v="2025-04-10T00:00:00"/>
    <n v="11.7"/>
    <b v="1"/>
    <n v="90.2"/>
    <x v="3"/>
  </r>
  <r>
    <n v="247"/>
    <s v="Maria Harris"/>
    <s v="IT"/>
    <s v="Code of Conduct"/>
    <s v="Compliance"/>
    <d v="2025-04-26T00:00:00"/>
    <m/>
    <n v="25.5"/>
    <b v="0"/>
    <n v="31.5"/>
    <x v="2"/>
  </r>
  <r>
    <n v="248"/>
    <s v="Maria Harris"/>
    <s v="IT"/>
    <s v="First Aid"/>
    <s v="Safety"/>
    <d v="2026-03-02T00:00:00"/>
    <m/>
    <n v="24.8"/>
    <b v="0"/>
    <n v="31.1"/>
    <x v="2"/>
  </r>
  <r>
    <n v="249"/>
    <s v="Maria Harris"/>
    <s v="IT"/>
    <s v="Presentation Skills"/>
    <s v="Soft Skills"/>
    <d v="2025-11-03T00:00:00"/>
    <d v="2025-12-14T00:00:00"/>
    <n v="30.8"/>
    <b v="1"/>
    <n v="79.900000000000006"/>
    <x v="3"/>
  </r>
  <r>
    <n v="250"/>
    <s v="Maria Harris"/>
    <s v="IT"/>
    <s v="Leadership Essentials"/>
    <s v="Leadership"/>
    <d v="2025-07-29T00:00:00"/>
    <m/>
    <n v="15.9"/>
    <b v="0"/>
    <m/>
    <x v="1"/>
  </r>
  <r>
    <n v="251"/>
    <s v="Maria Harris"/>
    <s v="IT"/>
    <s v="SQL Basics"/>
    <s v="Technical"/>
    <d v="2026-01-31T00:00:00"/>
    <m/>
    <n v="13.7"/>
    <b v="0"/>
    <m/>
    <x v="0"/>
  </r>
  <r>
    <n v="252"/>
    <s v="Maria Harris"/>
    <s v="IT"/>
    <s v="Team Collaboration"/>
    <s v="Soft Skills"/>
    <d v="2025-03-14T00:00:00"/>
    <d v="2025-04-05T00:00:00"/>
    <n v="23.3"/>
    <b v="1"/>
    <n v="98.5"/>
    <x v="3"/>
  </r>
  <r>
    <n v="253"/>
    <s v="Maria Harris"/>
    <s v="IT"/>
    <s v="Health Regulations"/>
    <s v="Compliance"/>
    <d v="2026-01-21T00:00:00"/>
    <m/>
    <n v="35.6"/>
    <b v="0"/>
    <m/>
    <x v="0"/>
  </r>
  <r>
    <n v="254"/>
    <s v="Maria Harris"/>
    <s v="IT"/>
    <s v="Power BI Fundamentals"/>
    <s v="Technical"/>
    <d v="2025-06-18T00:00:00"/>
    <m/>
    <n v="21.3"/>
    <b v="0"/>
    <m/>
    <x v="1"/>
  </r>
  <r>
    <n v="255"/>
    <s v="Maria Harris"/>
    <s v="IT"/>
    <s v="Python for Analysts"/>
    <s v="Technical"/>
    <d v="2025-09-11T00:00:00"/>
    <m/>
    <n v="19.3"/>
    <b v="0"/>
    <m/>
    <x v="0"/>
  </r>
  <r>
    <n v="256"/>
    <s v="Maria Harris"/>
    <s v="IT"/>
    <s v="Hazard Identification"/>
    <s v="Safety"/>
    <d v="2025-06-16T00:00:00"/>
    <d v="2025-06-26T00:00:00"/>
    <n v="32.6"/>
    <b v="1"/>
    <n v="71.400000000000006"/>
    <x v="3"/>
  </r>
  <r>
    <n v="257"/>
    <s v="Maria Harris"/>
    <s v="IT"/>
    <s v="Coaching Skills"/>
    <s v="Leadership"/>
    <d v="2025-05-17T00:00:00"/>
    <d v="2025-06-20T00:00:00"/>
    <n v="22.7"/>
    <b v="1"/>
    <n v="87.6"/>
    <x v="3"/>
  </r>
  <r>
    <n v="258"/>
    <s v="Maria Harris"/>
    <s v="IT"/>
    <s v="First Aid"/>
    <s v="Safety"/>
    <d v="2025-03-15T00:00:00"/>
    <d v="2025-04-14T00:00:00"/>
    <n v="26.3"/>
    <b v="0"/>
    <n v="78.5"/>
    <x v="3"/>
  </r>
  <r>
    <n v="259"/>
    <s v="Maria Harris"/>
    <s v="IT"/>
    <s v="Health Regulations"/>
    <s v="Compliance"/>
    <d v="2025-08-24T00:00:00"/>
    <d v="2025-10-05T00:00:00"/>
    <n v="10.8"/>
    <b v="1"/>
    <n v="63.9"/>
    <x v="3"/>
  </r>
  <r>
    <n v="260"/>
    <s v="Maria Harris"/>
    <s v="IT"/>
    <s v="Team Collaboration"/>
    <s v="Soft Skills"/>
    <d v="2026-03-03T00:00:00"/>
    <m/>
    <n v="39.1"/>
    <b v="0"/>
    <m/>
    <x v="1"/>
  </r>
  <r>
    <n v="261"/>
    <s v="Nathan Clark"/>
    <s v="Operations"/>
    <s v="Communication Skills"/>
    <s v="Soft Skills"/>
    <d v="2025-09-20T00:00:00"/>
    <m/>
    <n v="26.8"/>
    <b v="0"/>
    <m/>
    <x v="1"/>
  </r>
  <r>
    <n v="262"/>
    <s v="Nathan Clark"/>
    <s v="Operations"/>
    <s v="Conflict Resolution"/>
    <s v="Soft Skills"/>
    <d v="2025-03-02T00:00:00"/>
    <d v="2025-03-24T00:00:00"/>
    <n v="23.2"/>
    <b v="1"/>
    <n v="98.3"/>
    <x v="3"/>
  </r>
  <r>
    <n v="263"/>
    <s v="Nathan Clark"/>
    <s v="Operations"/>
    <s v="Data Privacy GDPR"/>
    <s v="Compliance"/>
    <d v="2025-04-02T00:00:00"/>
    <d v="2025-05-05T00:00:00"/>
    <n v="36.5"/>
    <b v="0"/>
    <n v="97.4"/>
    <x v="3"/>
  </r>
  <r>
    <n v="264"/>
    <s v="Nathan Clark"/>
    <s v="Operations"/>
    <s v="Health Regulations"/>
    <s v="Compliance"/>
    <d v="2026-02-15T00:00:00"/>
    <d v="2026-02-24T00:00:00"/>
    <n v="34"/>
    <b v="0"/>
    <n v="81.400000000000006"/>
    <x v="3"/>
  </r>
  <r>
    <n v="265"/>
    <s v="Nathan Clark"/>
    <s v="Operations"/>
    <s v="SQL Basics"/>
    <s v="Technical"/>
    <d v="2026-01-28T00:00:00"/>
    <d v="2026-02-24T00:00:00"/>
    <n v="20"/>
    <b v="0"/>
    <n v="98.8"/>
    <x v="3"/>
  </r>
  <r>
    <n v="266"/>
    <s v="Nathan Clark"/>
    <s v="Operations"/>
    <s v="Conflict Resolution"/>
    <s v="Soft Skills"/>
    <d v="2025-12-23T00:00:00"/>
    <d v="2026-01-04T00:00:00"/>
    <n v="38.700000000000003"/>
    <b v="0"/>
    <n v="94.7"/>
    <x v="3"/>
  </r>
  <r>
    <n v="267"/>
    <s v="Nathan Clark"/>
    <s v="Operations"/>
    <s v="Power BI Fundamentals"/>
    <s v="Technical"/>
    <d v="2025-09-01T00:00:00"/>
    <m/>
    <n v="34.299999999999997"/>
    <b v="0"/>
    <n v="33.700000000000003"/>
    <x v="2"/>
  </r>
  <r>
    <n v="268"/>
    <s v="Nathan Clark"/>
    <s v="Operations"/>
    <s v="Hazard Identification"/>
    <s v="Safety"/>
    <d v="2025-05-16T00:00:00"/>
    <d v="2025-06-11T00:00:00"/>
    <n v="36.4"/>
    <b v="1"/>
    <n v="88.2"/>
    <x v="3"/>
  </r>
  <r>
    <n v="269"/>
    <s v="Nathan Clark"/>
    <s v="Operations"/>
    <s v="Anti-Corruption Policy"/>
    <s v="Compliance"/>
    <d v="2025-07-25T00:00:00"/>
    <d v="2025-08-17T00:00:00"/>
    <n v="17"/>
    <b v="1"/>
    <n v="63.6"/>
    <x v="3"/>
  </r>
  <r>
    <n v="270"/>
    <s v="Nathan Clark"/>
    <s v="Operations"/>
    <s v="Data Privacy GDPR"/>
    <s v="Compliance"/>
    <d v="2025-09-13T00:00:00"/>
    <d v="2025-10-19T00:00:00"/>
    <n v="37.5"/>
    <b v="1"/>
    <n v="61.4"/>
    <x v="3"/>
  </r>
  <r>
    <n v="271"/>
    <s v="Nathan Clark"/>
    <s v="Operations"/>
    <s v="Communication Skills"/>
    <s v="Soft Skills"/>
    <d v="2026-01-23T00:00:00"/>
    <m/>
    <n v="11.9"/>
    <b v="0"/>
    <n v="57.1"/>
    <x v="2"/>
  </r>
  <r>
    <n v="272"/>
    <s v="Nathan Clark"/>
    <s v="Operations"/>
    <s v="Hazard Identification"/>
    <s v="Safety"/>
    <d v="2025-01-19T00:00:00"/>
    <d v="2025-02-02T00:00:00"/>
    <n v="9.5"/>
    <b v="0"/>
    <n v="67.8"/>
    <x v="3"/>
  </r>
  <r>
    <n v="273"/>
    <s v="Nathan Clark"/>
    <s v="Operations"/>
    <s v="Power BI Fundamentals"/>
    <s v="Technical"/>
    <d v="2025-06-13T00:00:00"/>
    <d v="2025-07-24T00:00:00"/>
    <n v="26.5"/>
    <b v="0"/>
    <n v="92"/>
    <x v="3"/>
  </r>
  <r>
    <n v="274"/>
    <s v="Nathan Clark"/>
    <s v="Operations"/>
    <s v="First Aid"/>
    <s v="Safety"/>
    <d v="2025-10-21T00:00:00"/>
    <m/>
    <n v="16.5"/>
    <b v="0"/>
    <n v="36.6"/>
    <x v="2"/>
  </r>
  <r>
    <n v="275"/>
    <s v="Nathan Clark"/>
    <s v="Operations"/>
    <s v="Change Management"/>
    <s v="Leadership"/>
    <d v="2025-10-07T00:00:00"/>
    <d v="2025-11-18T00:00:00"/>
    <n v="31.7"/>
    <b v="1"/>
    <n v="67.3"/>
    <x v="3"/>
  </r>
  <r>
    <n v="276"/>
    <s v="Nathan Clark"/>
    <s v="Operations"/>
    <s v="Anti-Corruption Policy"/>
    <s v="Compliance"/>
    <d v="2025-03-25T00:00:00"/>
    <m/>
    <n v="19.7"/>
    <b v="0"/>
    <m/>
    <x v="0"/>
  </r>
  <r>
    <n v="277"/>
    <s v="Nathan Clark"/>
    <s v="Operations"/>
    <s v="Fire Safety"/>
    <s v="Safety"/>
    <d v="2025-12-12T00:00:00"/>
    <d v="2026-01-14T00:00:00"/>
    <n v="37.700000000000003"/>
    <b v="0"/>
    <n v="64.3"/>
    <x v="3"/>
  </r>
  <r>
    <n v="278"/>
    <s v="Nathan Clark"/>
    <s v="Operations"/>
    <s v="Change Management"/>
    <s v="Leadership"/>
    <d v="2025-08-27T00:00:00"/>
    <d v="2025-09-21T00:00:00"/>
    <n v="19.7"/>
    <b v="1"/>
    <n v="79.5"/>
    <x v="3"/>
  </r>
  <r>
    <n v="279"/>
    <s v="Nathan Clark"/>
    <s v="Operations"/>
    <s v="Change Management"/>
    <s v="Leadership"/>
    <d v="2026-02-19T00:00:00"/>
    <d v="2026-03-12T00:00:00"/>
    <n v="25.3"/>
    <b v="0"/>
    <n v="85.5"/>
    <x v="3"/>
  </r>
  <r>
    <n v="280"/>
    <s v="Nathan Clark"/>
    <s v="Operations"/>
    <s v="Data Privacy GDPR"/>
    <s v="Compliance"/>
    <d v="2025-09-27T00:00:00"/>
    <d v="2025-11-10T00:00:00"/>
    <n v="36.299999999999997"/>
    <b v="1"/>
    <n v="62.4"/>
    <x v="3"/>
  </r>
  <r>
    <n v="281"/>
    <s v="Olivia Lewis"/>
    <s v="Sales"/>
    <s v="First Aid"/>
    <s v="Safety"/>
    <d v="2025-10-19T00:00:00"/>
    <d v="2025-11-22T00:00:00"/>
    <n v="27"/>
    <b v="1"/>
    <n v="85.2"/>
    <x v="3"/>
  </r>
  <r>
    <n v="282"/>
    <s v="Olivia Lewis"/>
    <s v="Sales"/>
    <s v="Anti-Corruption Policy"/>
    <s v="Compliance"/>
    <d v="2025-06-06T00:00:00"/>
    <m/>
    <n v="38.6"/>
    <b v="0"/>
    <m/>
    <x v="0"/>
  </r>
  <r>
    <n v="283"/>
    <s v="Olivia Lewis"/>
    <s v="Sales"/>
    <s v="Code of Conduct"/>
    <s v="Compliance"/>
    <d v="2025-06-16T00:00:00"/>
    <m/>
    <n v="22.2"/>
    <b v="0"/>
    <m/>
    <x v="1"/>
  </r>
  <r>
    <n v="284"/>
    <s v="Olivia Lewis"/>
    <s v="Sales"/>
    <s v="Leadership Essentials"/>
    <s v="Leadership"/>
    <d v="2025-11-28T00:00:00"/>
    <d v="2025-12-22T00:00:00"/>
    <n v="30.8"/>
    <b v="0"/>
    <n v="67.900000000000006"/>
    <x v="3"/>
  </r>
  <r>
    <n v="285"/>
    <s v="Olivia Lewis"/>
    <s v="Sales"/>
    <s v="Change Management"/>
    <s v="Leadership"/>
    <d v="2025-10-10T00:00:00"/>
    <m/>
    <n v="13.8"/>
    <b v="0"/>
    <m/>
    <x v="1"/>
  </r>
  <r>
    <n v="286"/>
    <s v="Olivia Lewis"/>
    <s v="Sales"/>
    <s v="Code of Conduct"/>
    <s v="Compliance"/>
    <d v="2025-02-19T00:00:00"/>
    <d v="2025-02-27T00:00:00"/>
    <n v="11.1"/>
    <b v="1"/>
    <n v="81.2"/>
    <x v="3"/>
  </r>
  <r>
    <n v="287"/>
    <s v="Olivia Lewis"/>
    <s v="Sales"/>
    <s v="Fire Safety"/>
    <s v="Safety"/>
    <d v="2026-02-02T00:00:00"/>
    <m/>
    <n v="10.3"/>
    <b v="0"/>
    <m/>
    <x v="0"/>
  </r>
  <r>
    <n v="288"/>
    <s v="Olivia Lewis"/>
    <s v="Sales"/>
    <s v="Health Regulations"/>
    <s v="Compliance"/>
    <d v="2025-06-10T00:00:00"/>
    <d v="2025-07-16T00:00:00"/>
    <n v="13.8"/>
    <b v="1"/>
    <n v="65.099999999999994"/>
    <x v="3"/>
  </r>
  <r>
    <n v="289"/>
    <s v="Olivia Lewis"/>
    <s v="Sales"/>
    <s v="Coaching Skills"/>
    <s v="Leadership"/>
    <d v="2025-09-05T00:00:00"/>
    <d v="2025-10-13T00:00:00"/>
    <n v="21.3"/>
    <b v="1"/>
    <n v="89.9"/>
    <x v="3"/>
  </r>
  <r>
    <n v="290"/>
    <s v="Olivia Lewis"/>
    <s v="Sales"/>
    <s v="Data Privacy GDPR"/>
    <s v="Compliance"/>
    <d v="2026-01-02T00:00:00"/>
    <m/>
    <n v="12.7"/>
    <b v="0"/>
    <m/>
    <x v="1"/>
  </r>
  <r>
    <n v="291"/>
    <s v="Olivia Lewis"/>
    <s v="Sales"/>
    <s v="Change Management"/>
    <s v="Leadership"/>
    <d v="2025-06-12T00:00:00"/>
    <d v="2025-06-24T00:00:00"/>
    <n v="18.100000000000001"/>
    <b v="0"/>
    <n v="90.1"/>
    <x v="3"/>
  </r>
  <r>
    <n v="292"/>
    <s v="Olivia Lewis"/>
    <s v="Sales"/>
    <s v="Python for Analysts"/>
    <s v="Technical"/>
    <d v="2025-05-22T00:00:00"/>
    <d v="2025-06-03T00:00:00"/>
    <n v="19.8"/>
    <b v="1"/>
    <n v="74.8"/>
    <x v="3"/>
  </r>
  <r>
    <n v="293"/>
    <s v="Olivia Lewis"/>
    <s v="Sales"/>
    <s v="Presentation Skills"/>
    <s v="Soft Skills"/>
    <d v="2025-04-17T00:00:00"/>
    <m/>
    <n v="21.9"/>
    <b v="0"/>
    <n v="55.1"/>
    <x v="2"/>
  </r>
  <r>
    <n v="294"/>
    <s v="Olivia Lewis"/>
    <s v="Sales"/>
    <s v="Code of Conduct"/>
    <s v="Compliance"/>
    <d v="2026-03-26T00:00:00"/>
    <m/>
    <n v="36.700000000000003"/>
    <b v="0"/>
    <m/>
    <x v="1"/>
  </r>
  <r>
    <n v="295"/>
    <s v="Olivia Lewis"/>
    <s v="Sales"/>
    <s v="Code of Conduct"/>
    <s v="Compliance"/>
    <d v="2025-12-23T00:00:00"/>
    <d v="2026-01-11T00:00:00"/>
    <n v="4.5999999999999996"/>
    <b v="1"/>
    <n v="79.8"/>
    <x v="3"/>
  </r>
  <r>
    <n v="296"/>
    <s v="Olivia Lewis"/>
    <s v="Sales"/>
    <s v="Change Management"/>
    <s v="Leadership"/>
    <d v="2025-07-03T00:00:00"/>
    <m/>
    <n v="34.1"/>
    <b v="0"/>
    <m/>
    <x v="0"/>
  </r>
  <r>
    <n v="297"/>
    <s v="Olivia Lewis"/>
    <s v="Sales"/>
    <s v="Strategic Thinking"/>
    <s v="Leadership"/>
    <d v="2025-02-18T00:00:00"/>
    <m/>
    <n v="34.5"/>
    <b v="0"/>
    <m/>
    <x v="1"/>
  </r>
  <r>
    <n v="298"/>
    <s v="Olivia Lewis"/>
    <s v="Sales"/>
    <s v="Presentation Skills"/>
    <s v="Soft Skills"/>
    <d v="2026-03-24T00:00:00"/>
    <m/>
    <n v="15.3"/>
    <b v="0"/>
    <m/>
    <x v="1"/>
  </r>
  <r>
    <n v="299"/>
    <s v="Olivia Lewis"/>
    <s v="Sales"/>
    <s v="Fire Safety"/>
    <s v="Safety"/>
    <d v="2025-06-30T00:00:00"/>
    <m/>
    <n v="37.799999999999997"/>
    <b v="0"/>
    <m/>
    <x v="0"/>
  </r>
  <r>
    <n v="300"/>
    <s v="Olivia Lewis"/>
    <s v="Sales"/>
    <s v="Conflict Resolution"/>
    <s v="Soft Skills"/>
    <d v="2025-06-05T00:00:00"/>
    <d v="2025-07-19T00:00:00"/>
    <n v="10.1"/>
    <b v="0"/>
    <n v="62.3"/>
    <x v="3"/>
  </r>
  <r>
    <n v="301"/>
    <s v="Olivia Lewis"/>
    <s v="Sales"/>
    <s v="Coaching Skills"/>
    <s v="Leadership"/>
    <d v="2026-03-04T00:00:00"/>
    <m/>
    <n v="28.5"/>
    <b v="0"/>
    <m/>
    <x v="1"/>
  </r>
  <r>
    <n v="302"/>
    <s v="Olivia Lewis"/>
    <s v="Sales"/>
    <s v="Coaching Skills"/>
    <s v="Leadership"/>
    <d v="2025-03-28T00:00:00"/>
    <m/>
    <n v="13.5"/>
    <b v="0"/>
    <m/>
    <x v="1"/>
  </r>
  <r>
    <n v="303"/>
    <s v="Peter Robinson"/>
    <s v="Finance"/>
    <s v="Hazard Identification"/>
    <s v="Safety"/>
    <d v="2025-12-13T00:00:00"/>
    <m/>
    <n v="33.299999999999997"/>
    <b v="0"/>
    <m/>
    <x v="0"/>
  </r>
  <r>
    <n v="304"/>
    <s v="Peter Robinson"/>
    <s v="Finance"/>
    <s v="Leadership Essentials"/>
    <s v="Leadership"/>
    <d v="2026-03-09T00:00:00"/>
    <m/>
    <n v="13.5"/>
    <b v="0"/>
    <n v="42.5"/>
    <x v="2"/>
  </r>
  <r>
    <n v="305"/>
    <s v="Peter Robinson"/>
    <s v="Finance"/>
    <s v="Anti-Corruption Policy"/>
    <s v="Compliance"/>
    <d v="2025-12-16T00:00:00"/>
    <m/>
    <n v="17.600000000000001"/>
    <b v="0"/>
    <m/>
    <x v="1"/>
  </r>
  <r>
    <n v="306"/>
    <s v="Peter Robinson"/>
    <s v="Finance"/>
    <s v="Health Regulations"/>
    <s v="Compliance"/>
    <d v="2026-01-14T00:00:00"/>
    <d v="2026-01-27T00:00:00"/>
    <n v="24.6"/>
    <b v="1"/>
    <n v="61.5"/>
    <x v="3"/>
  </r>
  <r>
    <n v="307"/>
    <s v="Peter Robinson"/>
    <s v="Finance"/>
    <s v="Communication Skills"/>
    <s v="Soft Skills"/>
    <d v="2026-02-08T00:00:00"/>
    <m/>
    <n v="7.2"/>
    <b v="0"/>
    <m/>
    <x v="1"/>
  </r>
  <r>
    <n v="308"/>
    <s v="Peter Robinson"/>
    <s v="Finance"/>
    <s v="Excel Advanced"/>
    <s v="Technical"/>
    <d v="2025-06-02T00:00:00"/>
    <d v="2025-07-06T00:00:00"/>
    <n v="10.8"/>
    <b v="0"/>
    <n v="76.400000000000006"/>
    <x v="3"/>
  </r>
  <r>
    <n v="309"/>
    <s v="Peter Robinson"/>
    <s v="Finance"/>
    <s v="Change Management"/>
    <s v="Leadership"/>
    <d v="2025-11-30T00:00:00"/>
    <m/>
    <n v="28.9"/>
    <b v="0"/>
    <m/>
    <x v="0"/>
  </r>
  <r>
    <n v="310"/>
    <s v="Peter Robinson"/>
    <s v="Finance"/>
    <s v="SQL Basics"/>
    <s v="Technical"/>
    <d v="2025-03-16T00:00:00"/>
    <d v="2025-04-06T00:00:00"/>
    <n v="37.200000000000003"/>
    <b v="0"/>
    <n v="89.2"/>
    <x v="3"/>
  </r>
  <r>
    <n v="311"/>
    <s v="Peter Robinson"/>
    <s v="Finance"/>
    <s v="SQL Basics"/>
    <s v="Technical"/>
    <d v="2026-03-13T00:00:00"/>
    <d v="2026-03-21T00:00:00"/>
    <n v="11.2"/>
    <b v="0"/>
    <n v="78.599999999999994"/>
    <x v="3"/>
  </r>
  <r>
    <n v="312"/>
    <s v="Peter Robinson"/>
    <s v="Finance"/>
    <s v="Conflict Resolution"/>
    <s v="Soft Skills"/>
    <d v="2025-03-28T00:00:00"/>
    <m/>
    <n v="32.9"/>
    <b v="0"/>
    <n v="37.9"/>
    <x v="2"/>
  </r>
  <r>
    <n v="313"/>
    <s v="Peter Robinson"/>
    <s v="Finance"/>
    <s v="Excel Advanced"/>
    <s v="Technical"/>
    <d v="2025-05-05T00:00:00"/>
    <m/>
    <n v="18.5"/>
    <b v="0"/>
    <n v="54.6"/>
    <x v="2"/>
  </r>
  <r>
    <n v="314"/>
    <s v="Peter Robinson"/>
    <s v="Finance"/>
    <s v="Anti-Corruption Policy"/>
    <s v="Compliance"/>
    <d v="2025-04-26T00:00:00"/>
    <d v="2025-05-02T00:00:00"/>
    <n v="27"/>
    <b v="1"/>
    <n v="68.400000000000006"/>
    <x v="3"/>
  </r>
  <r>
    <n v="315"/>
    <s v="Peter Robinson"/>
    <s v="Finance"/>
    <s v="Presentation Skills"/>
    <s v="Soft Skills"/>
    <d v="2025-10-04T00:00:00"/>
    <m/>
    <n v="12.2"/>
    <b v="0"/>
    <m/>
    <x v="1"/>
  </r>
  <r>
    <n v="316"/>
    <s v="Peter Robinson"/>
    <s v="Finance"/>
    <s v="Leadership Essentials"/>
    <s v="Leadership"/>
    <d v="2026-01-22T00:00:00"/>
    <d v="2026-03-02T00:00:00"/>
    <n v="26.3"/>
    <b v="1"/>
    <n v="65.099999999999994"/>
    <x v="3"/>
  </r>
  <r>
    <n v="317"/>
    <s v="Peter Robinson"/>
    <s v="Finance"/>
    <s v="SQL Basics"/>
    <s v="Technical"/>
    <d v="2025-03-13T00:00:00"/>
    <m/>
    <n v="19.899999999999999"/>
    <b v="0"/>
    <m/>
    <x v="0"/>
  </r>
  <r>
    <n v="318"/>
    <s v="Peter Robinson"/>
    <s v="Finance"/>
    <s v="SQL Basics"/>
    <s v="Technical"/>
    <d v="2025-03-26T00:00:00"/>
    <m/>
    <n v="33.5"/>
    <b v="0"/>
    <m/>
    <x v="0"/>
  </r>
  <r>
    <n v="319"/>
    <s v="Peter Robinson"/>
    <s v="Finance"/>
    <s v="Power BI Fundamentals"/>
    <s v="Technical"/>
    <d v="2025-10-07T00:00:00"/>
    <d v="2025-10-23T00:00:00"/>
    <n v="12.6"/>
    <b v="1"/>
    <n v="80.2"/>
    <x v="3"/>
  </r>
  <r>
    <n v="320"/>
    <s v="Peter Robinson"/>
    <s v="Finance"/>
    <s v="Coaching Skills"/>
    <s v="Leadership"/>
    <d v="2026-01-21T00:00:00"/>
    <m/>
    <n v="36.9"/>
    <b v="0"/>
    <m/>
    <x v="1"/>
  </r>
  <r>
    <n v="321"/>
    <s v="Peter Robinson"/>
    <s v="Finance"/>
    <s v="Data Privacy GDPR"/>
    <s v="Compliance"/>
    <d v="2025-12-15T00:00:00"/>
    <m/>
    <n v="22.8"/>
    <b v="0"/>
    <m/>
    <x v="0"/>
  </r>
  <r>
    <n v="322"/>
    <s v="Quinn Walker"/>
    <s v="HR"/>
    <s v="Excel Advanced"/>
    <s v="Technical"/>
    <d v="2025-12-24T00:00:00"/>
    <m/>
    <n v="37"/>
    <b v="0"/>
    <m/>
    <x v="0"/>
  </r>
  <r>
    <n v="323"/>
    <s v="Quinn Walker"/>
    <s v="HR"/>
    <s v="Fire Safety"/>
    <s v="Safety"/>
    <d v="2026-03-19T00:00:00"/>
    <m/>
    <n v="21.1"/>
    <b v="0"/>
    <m/>
    <x v="0"/>
  </r>
  <r>
    <n v="324"/>
    <s v="Quinn Walker"/>
    <s v="HR"/>
    <s v="Communication Skills"/>
    <s v="Soft Skills"/>
    <d v="2026-03-20T00:00:00"/>
    <d v="2026-04-02T00:00:00"/>
    <n v="35.5"/>
    <b v="1"/>
    <n v="91.5"/>
    <x v="3"/>
  </r>
  <r>
    <n v="325"/>
    <s v="Quinn Walker"/>
    <s v="HR"/>
    <s v="Power BI Fundamentals"/>
    <s v="Technical"/>
    <d v="2025-06-22T00:00:00"/>
    <m/>
    <n v="14.8"/>
    <b v="0"/>
    <m/>
    <x v="1"/>
  </r>
  <r>
    <n v="326"/>
    <s v="Quinn Walker"/>
    <s v="HR"/>
    <s v="Fire Safety"/>
    <s v="Safety"/>
    <d v="2025-12-13T00:00:00"/>
    <m/>
    <n v="27.7"/>
    <b v="0"/>
    <m/>
    <x v="0"/>
  </r>
  <r>
    <n v="327"/>
    <s v="Quinn Walker"/>
    <s v="HR"/>
    <s v="Presentation Skills"/>
    <s v="Soft Skills"/>
    <d v="2026-01-09T00:00:00"/>
    <d v="2026-02-20T00:00:00"/>
    <n v="29.6"/>
    <b v="1"/>
    <n v="79.8"/>
    <x v="3"/>
  </r>
  <r>
    <n v="328"/>
    <s v="Quinn Walker"/>
    <s v="HR"/>
    <s v="Excel Advanced"/>
    <s v="Technical"/>
    <d v="2025-01-25T00:00:00"/>
    <m/>
    <n v="5.0999999999999996"/>
    <b v="0"/>
    <m/>
    <x v="1"/>
  </r>
  <r>
    <n v="329"/>
    <s v="Quinn Walker"/>
    <s v="HR"/>
    <s v="Presentation Skills"/>
    <s v="Soft Skills"/>
    <d v="2025-06-28T00:00:00"/>
    <d v="2025-07-19T00:00:00"/>
    <n v="31"/>
    <b v="1"/>
    <n v="94.7"/>
    <x v="3"/>
  </r>
  <r>
    <n v="330"/>
    <s v="Quinn Walker"/>
    <s v="HR"/>
    <s v="Fire Safety"/>
    <s v="Safety"/>
    <d v="2025-12-02T00:00:00"/>
    <d v="2026-01-05T00:00:00"/>
    <n v="23.1"/>
    <b v="1"/>
    <n v="69.8"/>
    <x v="3"/>
  </r>
  <r>
    <n v="331"/>
    <s v="Quinn Walker"/>
    <s v="HR"/>
    <s v="Hazard Identification"/>
    <s v="Safety"/>
    <d v="2025-04-14T00:00:00"/>
    <m/>
    <n v="29.6"/>
    <b v="0"/>
    <n v="51.6"/>
    <x v="2"/>
  </r>
  <r>
    <n v="332"/>
    <s v="Quinn Walker"/>
    <s v="HR"/>
    <s v="SQL Basics"/>
    <s v="Technical"/>
    <d v="2025-08-28T00:00:00"/>
    <d v="2025-09-06T00:00:00"/>
    <n v="27.1"/>
    <b v="0"/>
    <n v="95.5"/>
    <x v="3"/>
  </r>
  <r>
    <n v="333"/>
    <s v="Quinn Walker"/>
    <s v="HR"/>
    <s v="Strategic Thinking"/>
    <s v="Leadership"/>
    <d v="2026-01-01T00:00:00"/>
    <m/>
    <n v="9.1"/>
    <b v="0"/>
    <m/>
    <x v="0"/>
  </r>
  <r>
    <n v="334"/>
    <s v="Quinn Walker"/>
    <s v="HR"/>
    <s v="Conflict Resolution"/>
    <s v="Soft Skills"/>
    <d v="2026-03-14T00:00:00"/>
    <m/>
    <n v="16"/>
    <b v="0"/>
    <n v="36.1"/>
    <x v="2"/>
  </r>
  <r>
    <n v="335"/>
    <s v="Quinn Walker"/>
    <s v="HR"/>
    <s v="Fire Safety"/>
    <s v="Safety"/>
    <d v="2025-02-10T00:00:00"/>
    <d v="2025-02-22T00:00:00"/>
    <n v="39.6"/>
    <b v="0"/>
    <n v="65.3"/>
    <x v="3"/>
  </r>
  <r>
    <n v="336"/>
    <s v="Quinn Walker"/>
    <s v="HR"/>
    <s v="Power BI Fundamentals"/>
    <s v="Technical"/>
    <d v="2026-01-08T00:00:00"/>
    <m/>
    <n v="26.7"/>
    <b v="0"/>
    <m/>
    <x v="1"/>
  </r>
  <r>
    <n v="337"/>
    <s v="Quinn Walker"/>
    <s v="HR"/>
    <s v="Change Management"/>
    <s v="Leadership"/>
    <d v="2026-02-01T00:00:00"/>
    <d v="2026-02-18T00:00:00"/>
    <n v="29.7"/>
    <b v="1"/>
    <n v="73.8"/>
    <x v="3"/>
  </r>
  <r>
    <n v="338"/>
    <s v="Quinn Walker"/>
    <s v="HR"/>
    <s v="Data Privacy GDPR"/>
    <s v="Compliance"/>
    <d v="2025-07-30T00:00:00"/>
    <m/>
    <n v="13.4"/>
    <b v="0"/>
    <m/>
    <x v="1"/>
  </r>
  <r>
    <n v="339"/>
    <s v="Quinn Walker"/>
    <s v="HR"/>
    <s v="Excel Advanced"/>
    <s v="Technical"/>
    <d v="2025-03-11T00:00:00"/>
    <m/>
    <n v="15.9"/>
    <b v="0"/>
    <m/>
    <x v="1"/>
  </r>
  <r>
    <n v="340"/>
    <s v="Quinn Walker"/>
    <s v="HR"/>
    <s v="Presentation Skills"/>
    <s v="Soft Skills"/>
    <d v="2025-11-05T00:00:00"/>
    <d v="2025-12-05T00:00:00"/>
    <n v="31.5"/>
    <b v="1"/>
    <n v="68.7"/>
    <x v="3"/>
  </r>
  <r>
    <n v="341"/>
    <s v="Quinn Walker"/>
    <s v="HR"/>
    <s v="Workplace Ergonomics"/>
    <s v="Safety"/>
    <d v="2025-11-07T00:00:00"/>
    <d v="2025-12-08T00:00:00"/>
    <n v="24.5"/>
    <b v="1"/>
    <n v="82.2"/>
    <x v="3"/>
  </r>
  <r>
    <n v="342"/>
    <s v="Quinn Walker"/>
    <s v="HR"/>
    <s v="Workplace Ergonomics"/>
    <s v="Safety"/>
    <d v="2025-10-07T00:00:00"/>
    <m/>
    <n v="8.9"/>
    <b v="0"/>
    <m/>
    <x v="0"/>
  </r>
  <r>
    <n v="343"/>
    <s v="Quinn Walker"/>
    <s v="HR"/>
    <s v="Anti-Corruption Policy"/>
    <s v="Compliance"/>
    <d v="2025-11-09T00:00:00"/>
    <m/>
    <n v="6.7"/>
    <b v="0"/>
    <m/>
    <x v="0"/>
  </r>
  <r>
    <n v="344"/>
    <s v="Rachel Hall"/>
    <s v="IT"/>
    <s v="Anti-Corruption Policy"/>
    <s v="Compliance"/>
    <d v="2025-01-24T00:00:00"/>
    <d v="2025-02-14T00:00:00"/>
    <n v="12"/>
    <b v="1"/>
    <n v="89.7"/>
    <x v="3"/>
  </r>
  <r>
    <n v="345"/>
    <s v="Rachel Hall"/>
    <s v="IT"/>
    <s v="Data Privacy GDPR"/>
    <s v="Compliance"/>
    <d v="2026-01-16T00:00:00"/>
    <d v="2026-02-23T00:00:00"/>
    <n v="31.4"/>
    <b v="1"/>
    <n v="80"/>
    <x v="3"/>
  </r>
  <r>
    <n v="346"/>
    <s v="Rachel Hall"/>
    <s v="IT"/>
    <s v="Power BI Fundamentals"/>
    <s v="Technical"/>
    <d v="2025-11-21T00:00:00"/>
    <d v="2026-01-02T00:00:00"/>
    <n v="23"/>
    <b v="1"/>
    <n v="89.5"/>
    <x v="3"/>
  </r>
  <r>
    <n v="347"/>
    <s v="Rachel Hall"/>
    <s v="IT"/>
    <s v="Python for Analysts"/>
    <s v="Technical"/>
    <d v="2025-07-04T00:00:00"/>
    <d v="2025-07-29T00:00:00"/>
    <n v="37.200000000000003"/>
    <b v="1"/>
    <n v="78.7"/>
    <x v="3"/>
  </r>
  <r>
    <n v="348"/>
    <s v="Rachel Hall"/>
    <s v="IT"/>
    <s v="Hazard Identification"/>
    <s v="Safety"/>
    <d v="2025-08-19T00:00:00"/>
    <d v="2025-09-11T00:00:00"/>
    <n v="11.8"/>
    <b v="0"/>
    <n v="60"/>
    <x v="3"/>
  </r>
  <r>
    <n v="349"/>
    <s v="Rachel Hall"/>
    <s v="IT"/>
    <s v="Anti-Corruption Policy"/>
    <s v="Compliance"/>
    <d v="2025-06-14T00:00:00"/>
    <m/>
    <n v="5.2"/>
    <b v="0"/>
    <m/>
    <x v="0"/>
  </r>
  <r>
    <n v="350"/>
    <s v="Rachel Hall"/>
    <s v="IT"/>
    <s v="Team Collaboration"/>
    <s v="Soft Skills"/>
    <d v="2026-03-15T00:00:00"/>
    <m/>
    <n v="10"/>
    <b v="0"/>
    <n v="39.5"/>
    <x v="2"/>
  </r>
  <r>
    <n v="351"/>
    <s v="Rachel Hall"/>
    <s v="IT"/>
    <s v="Team Collaboration"/>
    <s v="Soft Skills"/>
    <d v="2025-05-19T00:00:00"/>
    <m/>
    <n v="12.3"/>
    <b v="0"/>
    <m/>
    <x v="1"/>
  </r>
  <r>
    <n v="352"/>
    <s v="Rachel Hall"/>
    <s v="IT"/>
    <s v="Presentation Skills"/>
    <s v="Soft Skills"/>
    <d v="2026-03-02T00:00:00"/>
    <m/>
    <n v="34.6"/>
    <b v="0"/>
    <m/>
    <x v="1"/>
  </r>
  <r>
    <n v="353"/>
    <s v="Rachel Hall"/>
    <s v="IT"/>
    <s v="Presentation Skills"/>
    <s v="Soft Skills"/>
    <d v="2025-12-30T00:00:00"/>
    <d v="2026-01-12T00:00:00"/>
    <n v="13"/>
    <b v="1"/>
    <n v="83.3"/>
    <x v="3"/>
  </r>
  <r>
    <n v="354"/>
    <s v="Rachel Hall"/>
    <s v="IT"/>
    <s v="Health Regulations"/>
    <s v="Compliance"/>
    <d v="2025-01-04T00:00:00"/>
    <d v="2025-02-17T00:00:00"/>
    <n v="27"/>
    <b v="1"/>
    <n v="97.3"/>
    <x v="3"/>
  </r>
  <r>
    <n v="355"/>
    <s v="Rachel Hall"/>
    <s v="IT"/>
    <s v="Communication Skills"/>
    <s v="Soft Skills"/>
    <d v="2025-06-20T00:00:00"/>
    <m/>
    <n v="14.9"/>
    <b v="0"/>
    <m/>
    <x v="1"/>
  </r>
  <r>
    <n v="356"/>
    <s v="Rachel Hall"/>
    <s v="IT"/>
    <s v="Workplace Ergonomics"/>
    <s v="Safety"/>
    <d v="2025-04-19T00:00:00"/>
    <m/>
    <n v="36.6"/>
    <b v="0"/>
    <n v="37.799999999999997"/>
    <x v="2"/>
  </r>
  <r>
    <n v="357"/>
    <s v="Rachel Hall"/>
    <s v="IT"/>
    <s v="Excel Advanced"/>
    <s v="Technical"/>
    <d v="2025-10-14T00:00:00"/>
    <m/>
    <n v="22.2"/>
    <b v="0"/>
    <m/>
    <x v="0"/>
  </r>
  <r>
    <n v="358"/>
    <s v="Rachel Hall"/>
    <s v="IT"/>
    <s v="Coaching Skills"/>
    <s v="Leadership"/>
    <d v="2025-07-05T00:00:00"/>
    <m/>
    <n v="16"/>
    <b v="0"/>
    <m/>
    <x v="0"/>
  </r>
  <r>
    <n v="359"/>
    <s v="Rachel Hall"/>
    <s v="IT"/>
    <s v="Change Management"/>
    <s v="Leadership"/>
    <d v="2025-08-26T00:00:00"/>
    <d v="2025-09-05T00:00:00"/>
    <n v="34.6"/>
    <b v="1"/>
    <n v="69.099999999999994"/>
    <x v="3"/>
  </r>
  <r>
    <n v="360"/>
    <s v="Rachel Hall"/>
    <s v="IT"/>
    <s v="SQL Basics"/>
    <s v="Technical"/>
    <d v="2026-03-20T00:00:00"/>
    <d v="2026-04-16T00:00:00"/>
    <n v="15.4"/>
    <b v="0"/>
    <n v="86.2"/>
    <x v="3"/>
  </r>
  <r>
    <n v="361"/>
    <s v="Rachel Hall"/>
    <s v="IT"/>
    <s v="Workplace Ergonomics"/>
    <s v="Safety"/>
    <d v="2025-11-06T00:00:00"/>
    <d v="2025-11-13T00:00:00"/>
    <n v="24.9"/>
    <b v="0"/>
    <n v="94"/>
    <x v="3"/>
  </r>
  <r>
    <n v="362"/>
    <s v="Rachel Hall"/>
    <s v="IT"/>
    <s v="Python for Analysts"/>
    <s v="Technical"/>
    <d v="2025-08-22T00:00:00"/>
    <d v="2025-09-20T00:00:00"/>
    <n v="19.899999999999999"/>
    <b v="0"/>
    <n v="92.1"/>
    <x v="3"/>
  </r>
  <r>
    <n v="363"/>
    <s v="Rachel Hall"/>
    <s v="IT"/>
    <s v="Health Regulations"/>
    <s v="Compliance"/>
    <d v="2025-02-26T00:00:00"/>
    <d v="2025-03-03T00:00:00"/>
    <n v="36.5"/>
    <b v="1"/>
    <n v="66"/>
    <x v="3"/>
  </r>
  <r>
    <n v="364"/>
    <s v="Rachel Hall"/>
    <s v="IT"/>
    <s v="Fire Safety"/>
    <s v="Safety"/>
    <d v="2025-12-30T00:00:00"/>
    <m/>
    <n v="25.6"/>
    <b v="0"/>
    <m/>
    <x v="0"/>
  </r>
  <r>
    <n v="365"/>
    <s v="Rachel Hall"/>
    <s v="IT"/>
    <s v="Hazard Identification"/>
    <s v="Safety"/>
    <d v="2026-01-28T00:00:00"/>
    <d v="2026-02-21T00:00:00"/>
    <n v="21.2"/>
    <b v="1"/>
    <n v="69"/>
    <x v="3"/>
  </r>
  <r>
    <n v="366"/>
    <s v="Samuel Young"/>
    <s v="Operations"/>
    <s v="Python for Analysts"/>
    <s v="Technical"/>
    <d v="2025-06-08T00:00:00"/>
    <d v="2025-07-02T00:00:00"/>
    <n v="19.8"/>
    <b v="1"/>
    <n v="84.4"/>
    <x v="3"/>
  </r>
  <r>
    <n v="367"/>
    <s v="Samuel Young"/>
    <s v="Operations"/>
    <s v="Code of Conduct"/>
    <s v="Compliance"/>
    <d v="2025-12-16T00:00:00"/>
    <m/>
    <n v="7.7"/>
    <b v="0"/>
    <m/>
    <x v="0"/>
  </r>
  <r>
    <n v="368"/>
    <s v="Samuel Young"/>
    <s v="Operations"/>
    <s v="Hazard Identification"/>
    <s v="Safety"/>
    <d v="2025-08-02T00:00:00"/>
    <d v="2025-08-31T00:00:00"/>
    <n v="5.5"/>
    <b v="0"/>
    <n v="78.2"/>
    <x v="3"/>
  </r>
  <r>
    <n v="369"/>
    <s v="Samuel Young"/>
    <s v="Operations"/>
    <s v="Data Privacy GDPR"/>
    <s v="Compliance"/>
    <d v="2025-07-06T00:00:00"/>
    <m/>
    <n v="37.299999999999997"/>
    <b v="0"/>
    <m/>
    <x v="1"/>
  </r>
  <r>
    <n v="370"/>
    <s v="Samuel Young"/>
    <s v="Operations"/>
    <s v="Excel Advanced"/>
    <s v="Technical"/>
    <d v="2025-04-01T00:00:00"/>
    <d v="2025-04-30T00:00:00"/>
    <n v="37.299999999999997"/>
    <b v="1"/>
    <n v="60.5"/>
    <x v="3"/>
  </r>
  <r>
    <n v="371"/>
    <s v="Samuel Young"/>
    <s v="Operations"/>
    <s v="Hazard Identification"/>
    <s v="Safety"/>
    <d v="2025-12-10T00:00:00"/>
    <m/>
    <n v="38.9"/>
    <b v="0"/>
    <n v="32.299999999999997"/>
    <x v="2"/>
  </r>
  <r>
    <n v="372"/>
    <s v="Samuel Young"/>
    <s v="Operations"/>
    <s v="Fire Safety"/>
    <s v="Safety"/>
    <d v="2026-01-18T00:00:00"/>
    <m/>
    <n v="19"/>
    <b v="0"/>
    <m/>
    <x v="0"/>
  </r>
  <r>
    <n v="373"/>
    <s v="Samuel Young"/>
    <s v="Operations"/>
    <s v="Code of Conduct"/>
    <s v="Compliance"/>
    <d v="2025-09-15T00:00:00"/>
    <m/>
    <n v="6.7"/>
    <b v="0"/>
    <m/>
    <x v="0"/>
  </r>
  <r>
    <n v="374"/>
    <s v="Samuel Young"/>
    <s v="Operations"/>
    <s v="Power BI Fundamentals"/>
    <s v="Technical"/>
    <d v="2025-11-25T00:00:00"/>
    <d v="2025-12-07T00:00:00"/>
    <n v="22.4"/>
    <b v="1"/>
    <n v="98.8"/>
    <x v="3"/>
  </r>
  <r>
    <n v="375"/>
    <s v="Samuel Young"/>
    <s v="Operations"/>
    <s v="Fire Safety"/>
    <s v="Safety"/>
    <d v="2025-11-26T00:00:00"/>
    <d v="2025-12-01T00:00:00"/>
    <n v="11.9"/>
    <b v="1"/>
    <n v="97.7"/>
    <x v="3"/>
  </r>
  <r>
    <n v="376"/>
    <s v="Samuel Young"/>
    <s v="Operations"/>
    <s v="Team Collaboration"/>
    <s v="Soft Skills"/>
    <d v="2025-11-27T00:00:00"/>
    <m/>
    <n v="17.600000000000001"/>
    <b v="0"/>
    <m/>
    <x v="1"/>
  </r>
  <r>
    <n v="377"/>
    <s v="Samuel Young"/>
    <s v="Operations"/>
    <s v="Communication Skills"/>
    <s v="Soft Skills"/>
    <d v="2026-01-19T00:00:00"/>
    <m/>
    <n v="37.4"/>
    <b v="0"/>
    <m/>
    <x v="0"/>
  </r>
  <r>
    <n v="378"/>
    <s v="Samuel Young"/>
    <s v="Operations"/>
    <s v="Communication Skills"/>
    <s v="Soft Skills"/>
    <d v="2025-04-27T00:00:00"/>
    <m/>
    <n v="9.4"/>
    <b v="0"/>
    <n v="49.6"/>
    <x v="2"/>
  </r>
  <r>
    <n v="379"/>
    <s v="Samuel Young"/>
    <s v="Operations"/>
    <s v="Health Regulations"/>
    <s v="Compliance"/>
    <d v="2025-06-02T00:00:00"/>
    <d v="2025-06-19T00:00:00"/>
    <n v="31.1"/>
    <b v="1"/>
    <n v="73.400000000000006"/>
    <x v="3"/>
  </r>
  <r>
    <n v="380"/>
    <s v="Samuel Young"/>
    <s v="Operations"/>
    <s v="Python for Analysts"/>
    <s v="Technical"/>
    <d v="2026-01-16T00:00:00"/>
    <m/>
    <n v="20.100000000000001"/>
    <b v="0"/>
    <m/>
    <x v="1"/>
  </r>
  <r>
    <n v="381"/>
    <s v="Samuel Young"/>
    <s v="Operations"/>
    <s v="Strategic Thinking"/>
    <s v="Leadership"/>
    <d v="2026-03-05T00:00:00"/>
    <d v="2026-03-20T00:00:00"/>
    <n v="35.9"/>
    <b v="1"/>
    <n v="65.7"/>
    <x v="3"/>
  </r>
  <r>
    <n v="382"/>
    <s v="Samuel Young"/>
    <s v="Operations"/>
    <s v="Anti-Corruption Policy"/>
    <s v="Compliance"/>
    <d v="2025-03-10T00:00:00"/>
    <d v="2025-03-22T00:00:00"/>
    <n v="14.3"/>
    <b v="0"/>
    <n v="77.599999999999994"/>
    <x v="3"/>
  </r>
  <r>
    <n v="383"/>
    <s v="Samuel Young"/>
    <s v="Operations"/>
    <s v="Code of Conduct"/>
    <s v="Compliance"/>
    <d v="2025-07-06T00:00:00"/>
    <d v="2025-08-01T00:00:00"/>
    <n v="5.2"/>
    <b v="1"/>
    <n v="74.900000000000006"/>
    <x v="3"/>
  </r>
  <r>
    <n v="384"/>
    <s v="Samuel Young"/>
    <s v="Operations"/>
    <s v="Change Management"/>
    <s v="Leadership"/>
    <d v="2025-10-21T00:00:00"/>
    <d v="2025-11-25T00:00:00"/>
    <n v="12.9"/>
    <b v="1"/>
    <n v="75.8"/>
    <x v="3"/>
  </r>
  <r>
    <n v="385"/>
    <s v="Samuel Young"/>
    <s v="Operations"/>
    <s v="SQL Basics"/>
    <s v="Technical"/>
    <d v="2025-12-31T00:00:00"/>
    <d v="2026-01-05T00:00:00"/>
    <n v="25.4"/>
    <b v="0"/>
    <n v="80.599999999999994"/>
    <x v="3"/>
  </r>
  <r>
    <n v="386"/>
    <s v="Samuel Young"/>
    <s v="Operations"/>
    <s v="Presentation Skills"/>
    <s v="Soft Skills"/>
    <d v="2025-06-05T00:00:00"/>
    <d v="2025-07-14T00:00:00"/>
    <n v="32.200000000000003"/>
    <b v="1"/>
    <n v="60.9"/>
    <x v="3"/>
  </r>
  <r>
    <n v="387"/>
    <s v="Samuel Young"/>
    <s v="Operations"/>
    <s v="Strategic Thinking"/>
    <s v="Leadership"/>
    <d v="2025-09-28T00:00:00"/>
    <d v="2025-10-12T00:00:00"/>
    <n v="32.4"/>
    <b v="1"/>
    <n v="97.2"/>
    <x v="3"/>
  </r>
  <r>
    <n v="388"/>
    <s v="Tina King"/>
    <s v="Sales"/>
    <s v="Hazard Identification"/>
    <s v="Safety"/>
    <d v="2025-11-28T00:00:00"/>
    <d v="2025-12-04T00:00:00"/>
    <n v="23.7"/>
    <b v="0"/>
    <n v="73.5"/>
    <x v="3"/>
  </r>
  <r>
    <n v="389"/>
    <s v="Tina King"/>
    <s v="Sales"/>
    <s v="SQL Basics"/>
    <s v="Technical"/>
    <d v="2025-03-27T00:00:00"/>
    <d v="2025-04-01T00:00:00"/>
    <n v="34.299999999999997"/>
    <b v="1"/>
    <n v="79.2"/>
    <x v="3"/>
  </r>
  <r>
    <n v="390"/>
    <s v="Tina King"/>
    <s v="Sales"/>
    <s v="SQL Basics"/>
    <s v="Technical"/>
    <d v="2025-05-11T00:00:00"/>
    <d v="2025-06-03T00:00:00"/>
    <n v="5.9"/>
    <b v="1"/>
    <n v="70.599999999999994"/>
    <x v="3"/>
  </r>
  <r>
    <n v="391"/>
    <s v="Tina King"/>
    <s v="Sales"/>
    <s v="Code of Conduct"/>
    <s v="Compliance"/>
    <d v="2025-01-21T00:00:00"/>
    <d v="2025-01-29T00:00:00"/>
    <n v="37.5"/>
    <b v="1"/>
    <n v="98.8"/>
    <x v="3"/>
  </r>
  <r>
    <n v="392"/>
    <s v="Tina King"/>
    <s v="Sales"/>
    <s v="Workplace Ergonomics"/>
    <s v="Safety"/>
    <d v="2026-02-01T00:00:00"/>
    <m/>
    <n v="20.100000000000001"/>
    <b v="0"/>
    <m/>
    <x v="1"/>
  </r>
  <r>
    <n v="393"/>
    <s v="Tina King"/>
    <s v="Sales"/>
    <s v="Excel Advanced"/>
    <s v="Technical"/>
    <d v="2025-07-06T00:00:00"/>
    <d v="2025-08-14T00:00:00"/>
    <n v="23.1"/>
    <b v="1"/>
    <n v="67.5"/>
    <x v="3"/>
  </r>
  <r>
    <n v="394"/>
    <s v="Tina King"/>
    <s v="Sales"/>
    <s v="Anti-Corruption Policy"/>
    <s v="Compliance"/>
    <d v="2025-03-31T00:00:00"/>
    <d v="2025-04-06T00:00:00"/>
    <n v="11.2"/>
    <b v="1"/>
    <n v="67.3"/>
    <x v="3"/>
  </r>
  <r>
    <n v="395"/>
    <s v="Tina King"/>
    <s v="Sales"/>
    <s v="Coaching Skills"/>
    <s v="Leadership"/>
    <d v="2025-06-17T00:00:00"/>
    <d v="2025-07-02T00:00:00"/>
    <n v="16.600000000000001"/>
    <b v="1"/>
    <n v="78.7"/>
    <x v="3"/>
  </r>
  <r>
    <n v="396"/>
    <s v="Tina King"/>
    <s v="Sales"/>
    <s v="Anti-Corruption Policy"/>
    <s v="Compliance"/>
    <d v="2025-02-15T00:00:00"/>
    <m/>
    <n v="11.7"/>
    <b v="0"/>
    <m/>
    <x v="0"/>
  </r>
  <r>
    <n v="397"/>
    <s v="Tina King"/>
    <s v="Sales"/>
    <s v="SQL Basics"/>
    <s v="Technical"/>
    <d v="2025-07-13T00:00:00"/>
    <d v="2025-07-31T00:00:00"/>
    <n v="21.8"/>
    <b v="0"/>
    <n v="69.5"/>
    <x v="3"/>
  </r>
  <r>
    <n v="398"/>
    <s v="Tina King"/>
    <s v="Sales"/>
    <s v="Code of Conduct"/>
    <s v="Compliance"/>
    <d v="2025-06-04T00:00:00"/>
    <m/>
    <n v="37.700000000000003"/>
    <b v="0"/>
    <m/>
    <x v="1"/>
  </r>
  <r>
    <n v="399"/>
    <s v="Tina King"/>
    <s v="Sales"/>
    <s v="Team Collaboration"/>
    <s v="Soft Skills"/>
    <d v="2025-03-09T00:00:00"/>
    <m/>
    <n v="39.700000000000003"/>
    <b v="0"/>
    <m/>
    <x v="0"/>
  </r>
  <r>
    <n v="400"/>
    <s v="Tina King"/>
    <s v="Sales"/>
    <s v="Change Management"/>
    <s v="Leadership"/>
    <d v="2025-08-26T00:00:00"/>
    <d v="2025-09-06T00:00:00"/>
    <n v="23.2"/>
    <b v="0"/>
    <n v="84.5"/>
    <x v="3"/>
  </r>
  <r>
    <n v="401"/>
    <s v="Tina King"/>
    <s v="Sales"/>
    <s v="Communication Skills"/>
    <s v="Soft Skills"/>
    <d v="2025-02-03T00:00:00"/>
    <d v="2025-03-17T00:00:00"/>
    <n v="5.4"/>
    <b v="0"/>
    <n v="69.599999999999994"/>
    <x v="3"/>
  </r>
  <r>
    <n v="402"/>
    <s v="Tina King"/>
    <s v="Sales"/>
    <s v="Conflict Resolution"/>
    <s v="Soft Skills"/>
    <d v="2026-01-07T00:00:00"/>
    <d v="2026-01-13T00:00:00"/>
    <n v="10.9"/>
    <b v="1"/>
    <n v="75.400000000000006"/>
    <x v="3"/>
  </r>
  <r>
    <n v="403"/>
    <s v="Tina King"/>
    <s v="Sales"/>
    <s v="Workplace Ergonomics"/>
    <s v="Safety"/>
    <d v="2025-06-03T00:00:00"/>
    <d v="2025-06-21T00:00:00"/>
    <n v="4.9000000000000004"/>
    <b v="0"/>
    <n v="90.3"/>
    <x v="3"/>
  </r>
  <r>
    <n v="404"/>
    <s v="Tina King"/>
    <s v="Sales"/>
    <s v="Strategic Thinking"/>
    <s v="Leadership"/>
    <d v="2025-06-08T00:00:00"/>
    <d v="2025-07-20T00:00:00"/>
    <n v="23.1"/>
    <b v="1"/>
    <n v="91"/>
    <x v="3"/>
  </r>
  <r>
    <n v="405"/>
    <s v="Tina King"/>
    <s v="Sales"/>
    <s v="SQL Basics"/>
    <s v="Technical"/>
    <d v="2025-11-27T00:00:00"/>
    <m/>
    <n v="19.600000000000001"/>
    <b v="0"/>
    <m/>
    <x v="1"/>
  </r>
  <r>
    <n v="406"/>
    <s v="Tina King"/>
    <s v="Sales"/>
    <s v="SQL Basics"/>
    <s v="Technical"/>
    <d v="2025-11-18T00:00:00"/>
    <d v="2025-12-25T00:00:00"/>
    <n v="37.5"/>
    <b v="0"/>
    <n v="99.8"/>
    <x v="3"/>
  </r>
  <r>
    <n v="407"/>
    <s v="Tina King"/>
    <s v="Sales"/>
    <s v="Strategic Thinking"/>
    <s v="Leadership"/>
    <d v="2025-01-17T00:00:00"/>
    <m/>
    <n v="5.2"/>
    <b v="0"/>
    <m/>
    <x v="0"/>
  </r>
  <r>
    <n v="408"/>
    <s v="Tina King"/>
    <s v="Sales"/>
    <s v="Health Regulations"/>
    <s v="Compliance"/>
    <d v="2025-11-29T00:00:00"/>
    <m/>
    <n v="34.799999999999997"/>
    <b v="0"/>
    <m/>
    <x v="0"/>
  </r>
  <r>
    <n v="409"/>
    <s v="Tina King"/>
    <s v="Sales"/>
    <s v="Communication Skills"/>
    <s v="Soft Skills"/>
    <d v="2025-12-05T00:00:00"/>
    <d v="2025-12-21T00:00:00"/>
    <n v="5.5"/>
    <b v="1"/>
    <n v="70.599999999999994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3530D4-8C65-40E4-85D5-D4FD9B3AEC01}" name="PT_Status" cacheId="14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 chartFormat="1">
  <location ref="I1:J6" firstHeaderRow="1" firstDataRow="1" firstDataCol="1"/>
  <pivotFields count="11">
    <pivotField dataField="1"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axis="axisRow" showAll="0">
      <items count="5">
        <item x="3"/>
        <item x="2"/>
        <item x="0"/>
        <item x="1"/>
        <item t="default"/>
      </items>
    </pivotField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DB8536-D4F4-4440-BA29-C0A70873871F}" name="PT_TrainingType" cacheId="9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 chartFormat="1">
  <location ref="E1:F7" firstHeaderRow="1" firstDataRow="1" firstDataCol="1"/>
  <pivotFields count="11">
    <pivotField showAll="0"/>
    <pivotField showAll="0"/>
    <pivotField showAll="0"/>
    <pivotField showAll="0"/>
    <pivotField axis="axisRow" showAll="0">
      <items count="6">
        <item x="0"/>
        <item x="3"/>
        <item x="1"/>
        <item x="2"/>
        <item x="4"/>
        <item t="default"/>
      </items>
    </pivotField>
    <pivotField numFmtId="14" showAll="0"/>
    <pivotField showAll="0"/>
    <pivotField dataField="1" showAll="0"/>
    <pivotField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otal Hours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3B101E-A687-45A1-A35C-702D54EC0330}" name="PT_Department" cacheId="4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 chartFormat="1">
  <location ref="A1:B7" firstHeaderRow="1" firstDataRow="1" firstDataCol="1"/>
  <pivotFields count="11"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numFmtId="14" showAll="0"/>
    <pivotField showAll="0"/>
    <pivotField dataField="1"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otal Hours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epartment" xr10:uid="{F0FB224D-E079-4F26-81D3-F7090EE48D92}" sourceName="department">
  <pivotTables>
    <pivotTable tabId="3" name="PT_Department"/>
  </pivotTables>
  <data>
    <tabular pivotCacheId="1951985159">
      <items count="5">
        <i x="0" s="1"/>
        <i x="1" s="1"/>
        <i x="2" s="1"/>
        <i x="3" s="1"/>
        <i x="4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raining_type" xr10:uid="{8CDDA0D9-02F4-4E75-B880-B84B21F8E924}" sourceName="training_type">
  <pivotTables>
    <pivotTable tabId="3" name="PT_TrainingType"/>
  </pivotTables>
  <data>
    <tabular pivotCacheId="1634700764">
      <items count="5">
        <i x="0" s="1"/>
        <i x="3" s="1"/>
        <i x="1" s="1"/>
        <i x="2" s="1"/>
        <i x="4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tatus" xr10:uid="{AAA8FAB7-4F98-4BF2-A4BC-4157F47C7610}" sourceName="status">
  <pivotTables>
    <pivotTable tabId="3" name="PT_Status"/>
  </pivotTables>
  <data>
    <tabular pivotCacheId="96845200">
      <items count="4">
        <i x="3" s="1"/>
        <i x="2" s="1"/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eptSlicer" xr10:uid="{BC037CC5-83BF-403A-8328-B23B0B14E568}" cache="SegmentaciónDeDatos_department" caption="DeptSlicer" rowHeight="241300"/>
  <slicer name="TypeSlicer" xr10:uid="{CB288211-E489-4C56-9BAF-C134978116C6}" cache="SegmentaciónDeDatos_training_type" caption="TypeSlicer" rowHeight="241300"/>
  <slicer name="StatusSlicer" xr10:uid="{387CF3EE-E22D-460B-AC94-4E8362E38941}" cache="SegmentaciónDeDatos_status" caption="StatusSlicer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1DED6B-84D7-4624-AF00-FF91196E7955}" name="TrainingData" displayName="TrainingData" ref="A1:K410" totalsRowShown="0">
  <autoFilter ref="A1:K410" xr:uid="{A01DED6B-84D7-4624-AF00-FF91196E7955}"/>
  <tableColumns count="11">
    <tableColumn id="1" xr3:uid="{57B540AE-65AB-403E-800D-5A798C7D077F}" name="record_id"/>
    <tableColumn id="2" xr3:uid="{B8558864-98EA-441E-B3AA-3EB3FA323800}" name="employee_name"/>
    <tableColumn id="3" xr3:uid="{F993389D-2248-4ADF-BBF9-003BBE0E881D}" name="department"/>
    <tableColumn id="4" xr3:uid="{9E82C739-8946-485B-BBEA-57AB2B06ECE4}" name="training_name"/>
    <tableColumn id="5" xr3:uid="{B3968D58-B760-45F0-82AA-1EFA46EBEDFB}" name="training_type"/>
    <tableColumn id="6" xr3:uid="{330C2443-D735-44FD-B06C-769115DAEA05}" name="start_date" dataDxfId="0"/>
    <tableColumn id="7" xr3:uid="{91135BA7-22AC-4B60-A288-B7FB8686C89D}" name="completion_date"/>
    <tableColumn id="8" xr3:uid="{F12DBC7E-FAC7-43AA-9F16-FA4F3D5205F2}" name="training_hours"/>
    <tableColumn id="9" xr3:uid="{C6AD76E2-3B0B-4057-983B-CA4848770640}" name="certified"/>
    <tableColumn id="10" xr3:uid="{8622120B-75C6-4E89-B0F5-5867BE9AB809}" name="score"/>
    <tableColumn id="11" xr3:uid="{035C7E79-E6BF-4DEF-980F-FF1BD7A6E77E}" name="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74CCF-06BE-462A-98B7-1381BF8EF35F}">
  <dimension ref="A1:J7"/>
  <sheetViews>
    <sheetView tabSelected="1" workbookViewId="0"/>
  </sheetViews>
  <sheetFormatPr baseColWidth="10" defaultRowHeight="15" x14ac:dyDescent="0.25"/>
  <cols>
    <col min="1" max="1" width="17.5703125" bestFit="1" customWidth="1"/>
    <col min="2" max="2" width="11" bestFit="1" customWidth="1"/>
    <col min="5" max="5" width="17.5703125" bestFit="1" customWidth="1"/>
    <col min="6" max="6" width="11" bestFit="1" customWidth="1"/>
    <col min="9" max="9" width="17.5703125" bestFit="1" customWidth="1"/>
    <col min="10" max="10" width="6.28515625" bestFit="1" customWidth="1"/>
  </cols>
  <sheetData>
    <row r="1" spans="1:10" x14ac:dyDescent="0.25">
      <c r="A1" s="2" t="s">
        <v>70</v>
      </c>
      <c r="B1" t="s">
        <v>72</v>
      </c>
      <c r="E1" s="2" t="s">
        <v>70</v>
      </c>
      <c r="F1" t="s">
        <v>72</v>
      </c>
      <c r="I1" s="2" t="s">
        <v>70</v>
      </c>
      <c r="J1" t="s">
        <v>73</v>
      </c>
    </row>
    <row r="2" spans="1:10" x14ac:dyDescent="0.25">
      <c r="A2" s="3" t="s">
        <v>12</v>
      </c>
      <c r="B2" s="4">
        <v>1674.3999999999999</v>
      </c>
      <c r="E2" s="3" t="s">
        <v>14</v>
      </c>
      <c r="F2" s="4">
        <v>1858.5999999999997</v>
      </c>
      <c r="I2" s="3" t="s">
        <v>23</v>
      </c>
      <c r="J2" s="4">
        <v>224</v>
      </c>
    </row>
    <row r="3" spans="1:10" x14ac:dyDescent="0.25">
      <c r="A3" s="3" t="s">
        <v>36</v>
      </c>
      <c r="B3" s="4">
        <v>1837.9999999999995</v>
      </c>
      <c r="E3" s="3" t="s">
        <v>25</v>
      </c>
      <c r="F3" s="4">
        <v>1787.6000000000001</v>
      </c>
      <c r="I3" s="3" t="s">
        <v>20</v>
      </c>
      <c r="J3" s="4">
        <v>34</v>
      </c>
    </row>
    <row r="4" spans="1:10" x14ac:dyDescent="0.25">
      <c r="A4" s="3" t="s">
        <v>42</v>
      </c>
      <c r="B4" s="4">
        <v>1743.3999999999994</v>
      </c>
      <c r="E4" s="3" t="s">
        <v>17</v>
      </c>
      <c r="F4" s="4">
        <v>1711.1</v>
      </c>
      <c r="I4" s="3" t="s">
        <v>15</v>
      </c>
      <c r="J4" s="4">
        <v>78</v>
      </c>
    </row>
    <row r="5" spans="1:10" x14ac:dyDescent="0.25">
      <c r="A5" s="3" t="s">
        <v>46</v>
      </c>
      <c r="B5" s="4">
        <v>1865.8000000000006</v>
      </c>
      <c r="E5" s="3" t="s">
        <v>22</v>
      </c>
      <c r="F5" s="4">
        <v>1751.4000000000003</v>
      </c>
      <c r="I5" s="3" t="s">
        <v>18</v>
      </c>
      <c r="J5" s="4">
        <v>73</v>
      </c>
    </row>
    <row r="6" spans="1:10" x14ac:dyDescent="0.25">
      <c r="A6" s="3" t="s">
        <v>49</v>
      </c>
      <c r="B6" s="4">
        <v>1865.3999999999994</v>
      </c>
      <c r="E6" s="3" t="s">
        <v>31</v>
      </c>
      <c r="F6" s="4">
        <v>1878.2999999999997</v>
      </c>
      <c r="I6" s="3" t="s">
        <v>71</v>
      </c>
      <c r="J6" s="4">
        <v>409</v>
      </c>
    </row>
    <row r="7" spans="1:10" x14ac:dyDescent="0.25">
      <c r="A7" s="3" t="s">
        <v>71</v>
      </c>
      <c r="B7" s="4">
        <v>8987</v>
      </c>
      <c r="E7" s="3" t="s">
        <v>71</v>
      </c>
      <c r="F7" s="4">
        <v>8987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93379-4B7D-4C8E-A8F3-B435E1844F52}">
  <dimension ref="A1:H4"/>
  <sheetViews>
    <sheetView workbookViewId="0">
      <selection activeCell="B3" sqref="B3:H3"/>
    </sheetView>
  </sheetViews>
  <sheetFormatPr baseColWidth="10" defaultRowHeight="15" x14ac:dyDescent="0.25"/>
  <sheetData>
    <row r="1" spans="1:8" x14ac:dyDescent="0.25">
      <c r="A1" t="s">
        <v>65</v>
      </c>
    </row>
    <row r="3" spans="1:8" x14ac:dyDescent="0.25">
      <c r="B3" t="s">
        <v>66</v>
      </c>
      <c r="D3" t="s">
        <v>67</v>
      </c>
      <c r="F3" t="s">
        <v>68</v>
      </c>
      <c r="H3" t="s">
        <v>69</v>
      </c>
    </row>
    <row r="4" spans="1:8" x14ac:dyDescent="0.25">
      <c r="B4">
        <f>COUNTIF(TrainingData[status],"Completed")/COUNTA(TrainingData[status])</f>
        <v>0.5476772616136919</v>
      </c>
      <c r="D4">
        <f>ROUND(SUM(TrainingData[training_hours]),0)</f>
        <v>8987</v>
      </c>
      <c r="F4">
        <f>COUNTIF(TrainingData[certified],TRUE)</f>
        <v>161</v>
      </c>
      <c r="H4">
        <f>ROUND(AVERAGEIF(TrainingData[score],"&gt;0"),1)</f>
        <v>74.599999999999994</v>
      </c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DF589-1C53-43E1-85F4-7D84D918F830}">
  <dimension ref="A1:K410"/>
  <sheetViews>
    <sheetView workbookViewId="0"/>
  </sheetViews>
  <sheetFormatPr baseColWidth="10" defaultRowHeight="15" x14ac:dyDescent="0.25"/>
  <cols>
    <col min="1" max="1" width="11.5703125" customWidth="1"/>
    <col min="2" max="2" width="18.140625" customWidth="1"/>
    <col min="3" max="3" width="13.7109375" customWidth="1"/>
    <col min="4" max="4" width="16" customWidth="1"/>
    <col min="5" max="5" width="15" customWidth="1"/>
    <col min="6" max="6" width="12.140625" customWidth="1"/>
    <col min="7" max="7" width="18.28515625" customWidth="1"/>
    <col min="8" max="8" width="16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t="s">
        <v>11</v>
      </c>
      <c r="C2" t="s">
        <v>12</v>
      </c>
      <c r="D2" t="s">
        <v>13</v>
      </c>
      <c r="E2" t="s">
        <v>14</v>
      </c>
      <c r="F2" s="1">
        <v>45855</v>
      </c>
      <c r="H2">
        <v>7.4</v>
      </c>
      <c r="I2" t="b">
        <v>0</v>
      </c>
      <c r="K2" t="s">
        <v>15</v>
      </c>
    </row>
    <row r="3" spans="1:11" x14ac:dyDescent="0.25">
      <c r="A3">
        <v>2</v>
      </c>
      <c r="B3" t="s">
        <v>11</v>
      </c>
      <c r="C3" t="s">
        <v>12</v>
      </c>
      <c r="D3" t="s">
        <v>16</v>
      </c>
      <c r="E3" t="s">
        <v>17</v>
      </c>
      <c r="F3" s="1">
        <v>46097</v>
      </c>
      <c r="H3">
        <v>8.6</v>
      </c>
      <c r="I3" t="b">
        <v>0</v>
      </c>
      <c r="K3" t="s">
        <v>18</v>
      </c>
    </row>
    <row r="4" spans="1:11" x14ac:dyDescent="0.25">
      <c r="A4">
        <v>3</v>
      </c>
      <c r="B4" t="s">
        <v>11</v>
      </c>
      <c r="C4" t="s">
        <v>12</v>
      </c>
      <c r="D4" t="s">
        <v>19</v>
      </c>
      <c r="E4" t="s">
        <v>14</v>
      </c>
      <c r="F4" s="1">
        <v>45860</v>
      </c>
      <c r="H4">
        <v>27.2</v>
      </c>
      <c r="I4" t="b">
        <v>0</v>
      </c>
      <c r="J4">
        <v>42.9</v>
      </c>
      <c r="K4" t="s">
        <v>20</v>
      </c>
    </row>
    <row r="5" spans="1:11" x14ac:dyDescent="0.25">
      <c r="A5">
        <v>4</v>
      </c>
      <c r="B5" t="s">
        <v>11</v>
      </c>
      <c r="C5" t="s">
        <v>12</v>
      </c>
      <c r="D5" t="s">
        <v>21</v>
      </c>
      <c r="E5" t="s">
        <v>22</v>
      </c>
      <c r="F5" s="1">
        <v>45760</v>
      </c>
      <c r="G5" s="1">
        <v>45768</v>
      </c>
      <c r="H5">
        <v>33.799999999999997</v>
      </c>
      <c r="I5" t="b">
        <v>1</v>
      </c>
      <c r="J5">
        <v>90.3</v>
      </c>
      <c r="K5" t="s">
        <v>23</v>
      </c>
    </row>
    <row r="6" spans="1:11" x14ac:dyDescent="0.25">
      <c r="A6">
        <v>5</v>
      </c>
      <c r="B6" t="s">
        <v>11</v>
      </c>
      <c r="C6" t="s">
        <v>12</v>
      </c>
      <c r="D6" t="s">
        <v>24</v>
      </c>
      <c r="E6" t="s">
        <v>25</v>
      </c>
      <c r="F6" s="1">
        <v>45817</v>
      </c>
      <c r="H6">
        <v>32</v>
      </c>
      <c r="I6" t="b">
        <v>0</v>
      </c>
      <c r="K6" t="s">
        <v>18</v>
      </c>
    </row>
    <row r="7" spans="1:11" x14ac:dyDescent="0.25">
      <c r="A7">
        <v>6</v>
      </c>
      <c r="B7" t="s">
        <v>11</v>
      </c>
      <c r="C7" t="s">
        <v>12</v>
      </c>
      <c r="D7" t="s">
        <v>26</v>
      </c>
      <c r="E7" t="s">
        <v>17</v>
      </c>
      <c r="F7" s="1">
        <v>45745</v>
      </c>
      <c r="G7" s="1">
        <v>45764</v>
      </c>
      <c r="H7">
        <v>9.6</v>
      </c>
      <c r="I7" t="b">
        <v>1</v>
      </c>
      <c r="J7">
        <v>89.8</v>
      </c>
      <c r="K7" t="s">
        <v>23</v>
      </c>
    </row>
    <row r="8" spans="1:11" x14ac:dyDescent="0.25">
      <c r="A8">
        <v>7</v>
      </c>
      <c r="B8" t="s">
        <v>11</v>
      </c>
      <c r="C8" t="s">
        <v>12</v>
      </c>
      <c r="D8" t="s">
        <v>27</v>
      </c>
      <c r="E8" t="s">
        <v>25</v>
      </c>
      <c r="F8" s="1">
        <v>46093</v>
      </c>
      <c r="G8" s="1">
        <v>46114</v>
      </c>
      <c r="H8">
        <v>20.9</v>
      </c>
      <c r="I8" t="b">
        <v>0</v>
      </c>
      <c r="J8">
        <v>65.2</v>
      </c>
      <c r="K8" t="s">
        <v>23</v>
      </c>
    </row>
    <row r="9" spans="1:11" x14ac:dyDescent="0.25">
      <c r="A9">
        <v>8</v>
      </c>
      <c r="B9" t="s">
        <v>11</v>
      </c>
      <c r="C9" t="s">
        <v>12</v>
      </c>
      <c r="D9" t="s">
        <v>28</v>
      </c>
      <c r="E9" t="s">
        <v>22</v>
      </c>
      <c r="F9" s="1">
        <v>45872</v>
      </c>
      <c r="H9">
        <v>19.7</v>
      </c>
      <c r="I9" t="b">
        <v>0</v>
      </c>
      <c r="K9" t="s">
        <v>15</v>
      </c>
    </row>
    <row r="10" spans="1:11" x14ac:dyDescent="0.25">
      <c r="A10">
        <v>9</v>
      </c>
      <c r="B10" t="s">
        <v>11</v>
      </c>
      <c r="C10" t="s">
        <v>12</v>
      </c>
      <c r="D10" t="s">
        <v>29</v>
      </c>
      <c r="E10" t="s">
        <v>22</v>
      </c>
      <c r="F10" s="1">
        <v>46032</v>
      </c>
      <c r="G10" s="1">
        <v>46062</v>
      </c>
      <c r="H10">
        <v>34</v>
      </c>
      <c r="I10" t="b">
        <v>1</v>
      </c>
      <c r="J10">
        <v>75.5</v>
      </c>
      <c r="K10" t="s">
        <v>23</v>
      </c>
    </row>
    <row r="11" spans="1:11" x14ac:dyDescent="0.25">
      <c r="A11">
        <v>10</v>
      </c>
      <c r="B11" t="s">
        <v>11</v>
      </c>
      <c r="C11" t="s">
        <v>12</v>
      </c>
      <c r="D11" t="s">
        <v>19</v>
      </c>
      <c r="E11" t="s">
        <v>14</v>
      </c>
      <c r="F11" s="1">
        <v>45787</v>
      </c>
      <c r="G11" s="1">
        <v>45801</v>
      </c>
      <c r="H11">
        <v>11.2</v>
      </c>
      <c r="I11" t="b">
        <v>0</v>
      </c>
      <c r="J11">
        <v>91.5</v>
      </c>
      <c r="K11" t="s">
        <v>23</v>
      </c>
    </row>
    <row r="12" spans="1:11" x14ac:dyDescent="0.25">
      <c r="A12">
        <v>11</v>
      </c>
      <c r="B12" t="s">
        <v>11</v>
      </c>
      <c r="C12" t="s">
        <v>12</v>
      </c>
      <c r="D12" t="s">
        <v>19</v>
      </c>
      <c r="E12" t="s">
        <v>14</v>
      </c>
      <c r="F12" s="1">
        <v>45957</v>
      </c>
      <c r="H12">
        <v>20.5</v>
      </c>
      <c r="I12" t="b">
        <v>0</v>
      </c>
      <c r="K12" t="s">
        <v>18</v>
      </c>
    </row>
    <row r="13" spans="1:11" x14ac:dyDescent="0.25">
      <c r="A13">
        <v>12</v>
      </c>
      <c r="B13" t="s">
        <v>11</v>
      </c>
      <c r="C13" t="s">
        <v>12</v>
      </c>
      <c r="D13" t="s">
        <v>13</v>
      </c>
      <c r="E13" t="s">
        <v>14</v>
      </c>
      <c r="F13" s="1">
        <v>45913</v>
      </c>
      <c r="G13" s="1">
        <v>45919</v>
      </c>
      <c r="H13">
        <v>28.1</v>
      </c>
      <c r="I13" t="b">
        <v>1</v>
      </c>
      <c r="J13">
        <v>82.6</v>
      </c>
      <c r="K13" t="s">
        <v>23</v>
      </c>
    </row>
    <row r="14" spans="1:11" x14ac:dyDescent="0.25">
      <c r="A14">
        <v>13</v>
      </c>
      <c r="B14" t="s">
        <v>11</v>
      </c>
      <c r="C14" t="s">
        <v>12</v>
      </c>
      <c r="D14" t="s">
        <v>30</v>
      </c>
      <c r="E14" t="s">
        <v>31</v>
      </c>
      <c r="F14" s="1">
        <v>46002</v>
      </c>
      <c r="H14">
        <v>24.1</v>
      </c>
      <c r="I14" t="b">
        <v>0</v>
      </c>
      <c r="K14" t="s">
        <v>15</v>
      </c>
    </row>
    <row r="15" spans="1:11" x14ac:dyDescent="0.25">
      <c r="A15">
        <v>14</v>
      </c>
      <c r="B15" t="s">
        <v>11</v>
      </c>
      <c r="C15" t="s">
        <v>12</v>
      </c>
      <c r="D15" t="s">
        <v>19</v>
      </c>
      <c r="E15" t="s">
        <v>14</v>
      </c>
      <c r="F15" s="1">
        <v>45794</v>
      </c>
      <c r="G15" s="1">
        <v>45823</v>
      </c>
      <c r="H15">
        <v>11.7</v>
      </c>
      <c r="I15" t="b">
        <v>1</v>
      </c>
      <c r="J15">
        <v>94.1</v>
      </c>
      <c r="K15" t="s">
        <v>23</v>
      </c>
    </row>
    <row r="16" spans="1:11" x14ac:dyDescent="0.25">
      <c r="A16">
        <v>15</v>
      </c>
      <c r="B16" t="s">
        <v>11</v>
      </c>
      <c r="C16" t="s">
        <v>12</v>
      </c>
      <c r="D16" t="s">
        <v>30</v>
      </c>
      <c r="E16" t="s">
        <v>31</v>
      </c>
      <c r="F16" s="1">
        <v>45763</v>
      </c>
      <c r="G16" s="1">
        <v>45800</v>
      </c>
      <c r="H16">
        <v>14.6</v>
      </c>
      <c r="I16" t="b">
        <v>1</v>
      </c>
      <c r="J16">
        <v>82.3</v>
      </c>
      <c r="K16" t="s">
        <v>23</v>
      </c>
    </row>
    <row r="17" spans="1:11" x14ac:dyDescent="0.25">
      <c r="A17">
        <v>16</v>
      </c>
      <c r="B17" t="s">
        <v>11</v>
      </c>
      <c r="C17" t="s">
        <v>12</v>
      </c>
      <c r="D17" t="s">
        <v>32</v>
      </c>
      <c r="E17" t="s">
        <v>31</v>
      </c>
      <c r="F17" s="1">
        <v>46010</v>
      </c>
      <c r="G17" s="1">
        <v>46054</v>
      </c>
      <c r="H17">
        <v>33.299999999999997</v>
      </c>
      <c r="I17" t="b">
        <v>0</v>
      </c>
      <c r="J17">
        <v>60.9</v>
      </c>
      <c r="K17" t="s">
        <v>23</v>
      </c>
    </row>
    <row r="18" spans="1:11" x14ac:dyDescent="0.25">
      <c r="A18">
        <v>17</v>
      </c>
      <c r="B18" t="s">
        <v>11</v>
      </c>
      <c r="C18" t="s">
        <v>12</v>
      </c>
      <c r="D18" t="s">
        <v>33</v>
      </c>
      <c r="E18" t="s">
        <v>14</v>
      </c>
      <c r="F18" s="1">
        <v>45698</v>
      </c>
      <c r="G18" s="1">
        <v>45733</v>
      </c>
      <c r="H18">
        <v>9.8000000000000007</v>
      </c>
      <c r="I18" t="b">
        <v>1</v>
      </c>
      <c r="J18">
        <v>66.099999999999994</v>
      </c>
      <c r="K18" t="s">
        <v>23</v>
      </c>
    </row>
    <row r="19" spans="1:11" x14ac:dyDescent="0.25">
      <c r="A19">
        <v>18</v>
      </c>
      <c r="B19" t="s">
        <v>11</v>
      </c>
      <c r="C19" t="s">
        <v>12</v>
      </c>
      <c r="D19" t="s">
        <v>34</v>
      </c>
      <c r="E19" t="s">
        <v>14</v>
      </c>
      <c r="F19" s="1">
        <v>45971</v>
      </c>
      <c r="G19" s="1">
        <v>45995</v>
      </c>
      <c r="H19">
        <v>14.9</v>
      </c>
      <c r="I19" t="b">
        <v>1</v>
      </c>
      <c r="J19">
        <v>74.5</v>
      </c>
      <c r="K19" t="s">
        <v>23</v>
      </c>
    </row>
    <row r="20" spans="1:11" x14ac:dyDescent="0.25">
      <c r="A20">
        <v>19</v>
      </c>
      <c r="B20" t="s">
        <v>35</v>
      </c>
      <c r="C20" t="s">
        <v>36</v>
      </c>
      <c r="D20" t="s">
        <v>37</v>
      </c>
      <c r="E20" t="s">
        <v>17</v>
      </c>
      <c r="F20" s="1">
        <v>45812</v>
      </c>
      <c r="H20">
        <v>36.700000000000003</v>
      </c>
      <c r="I20" t="b">
        <v>0</v>
      </c>
      <c r="J20">
        <v>37.700000000000003</v>
      </c>
      <c r="K20" t="s">
        <v>20</v>
      </c>
    </row>
    <row r="21" spans="1:11" x14ac:dyDescent="0.25">
      <c r="A21">
        <v>20</v>
      </c>
      <c r="B21" t="s">
        <v>35</v>
      </c>
      <c r="C21" t="s">
        <v>36</v>
      </c>
      <c r="D21" t="s">
        <v>19</v>
      </c>
      <c r="E21" t="s">
        <v>14</v>
      </c>
      <c r="F21" s="1">
        <v>45776</v>
      </c>
      <c r="H21">
        <v>20.2</v>
      </c>
      <c r="I21" t="b">
        <v>0</v>
      </c>
      <c r="K21" t="s">
        <v>15</v>
      </c>
    </row>
    <row r="22" spans="1:11" x14ac:dyDescent="0.25">
      <c r="A22">
        <v>21</v>
      </c>
      <c r="B22" t="s">
        <v>35</v>
      </c>
      <c r="C22" t="s">
        <v>36</v>
      </c>
      <c r="D22" t="s">
        <v>34</v>
      </c>
      <c r="E22" t="s">
        <v>14</v>
      </c>
      <c r="F22" s="1">
        <v>45693</v>
      </c>
      <c r="H22">
        <v>20.399999999999999</v>
      </c>
      <c r="I22" t="b">
        <v>0</v>
      </c>
      <c r="J22">
        <v>38.9</v>
      </c>
      <c r="K22" t="s">
        <v>20</v>
      </c>
    </row>
    <row r="23" spans="1:11" x14ac:dyDescent="0.25">
      <c r="A23">
        <v>22</v>
      </c>
      <c r="B23" t="s">
        <v>35</v>
      </c>
      <c r="C23" t="s">
        <v>36</v>
      </c>
      <c r="D23" t="s">
        <v>16</v>
      </c>
      <c r="E23" t="s">
        <v>17</v>
      </c>
      <c r="F23" s="1">
        <v>45904</v>
      </c>
      <c r="H23">
        <v>31.3</v>
      </c>
      <c r="I23" t="b">
        <v>0</v>
      </c>
      <c r="K23" t="s">
        <v>18</v>
      </c>
    </row>
    <row r="24" spans="1:11" x14ac:dyDescent="0.25">
      <c r="A24">
        <v>23</v>
      </c>
      <c r="B24" t="s">
        <v>35</v>
      </c>
      <c r="C24" t="s">
        <v>36</v>
      </c>
      <c r="D24" t="s">
        <v>24</v>
      </c>
      <c r="E24" t="s">
        <v>25</v>
      </c>
      <c r="F24" s="1">
        <v>45956</v>
      </c>
      <c r="H24">
        <v>25</v>
      </c>
      <c r="I24" t="b">
        <v>0</v>
      </c>
      <c r="K24" t="s">
        <v>15</v>
      </c>
    </row>
    <row r="25" spans="1:11" x14ac:dyDescent="0.25">
      <c r="A25">
        <v>24</v>
      </c>
      <c r="B25" t="s">
        <v>35</v>
      </c>
      <c r="C25" t="s">
        <v>36</v>
      </c>
      <c r="D25" t="s">
        <v>32</v>
      </c>
      <c r="E25" t="s">
        <v>31</v>
      </c>
      <c r="F25" s="1">
        <v>45940</v>
      </c>
      <c r="G25" s="1">
        <v>45948</v>
      </c>
      <c r="H25">
        <v>5.5</v>
      </c>
      <c r="I25" t="b">
        <v>1</v>
      </c>
      <c r="J25">
        <v>73.2</v>
      </c>
      <c r="K25" t="s">
        <v>23</v>
      </c>
    </row>
    <row r="26" spans="1:11" x14ac:dyDescent="0.25">
      <c r="A26">
        <v>25</v>
      </c>
      <c r="B26" t="s">
        <v>35</v>
      </c>
      <c r="C26" t="s">
        <v>36</v>
      </c>
      <c r="D26" t="s">
        <v>33</v>
      </c>
      <c r="E26" t="s">
        <v>14</v>
      </c>
      <c r="F26" s="1">
        <v>45962</v>
      </c>
      <c r="H26">
        <v>10.1</v>
      </c>
      <c r="I26" t="b">
        <v>0</v>
      </c>
      <c r="K26" t="s">
        <v>15</v>
      </c>
    </row>
    <row r="27" spans="1:11" x14ac:dyDescent="0.25">
      <c r="A27">
        <v>26</v>
      </c>
      <c r="B27" t="s">
        <v>35</v>
      </c>
      <c r="C27" t="s">
        <v>36</v>
      </c>
      <c r="D27" t="s">
        <v>38</v>
      </c>
      <c r="E27" t="s">
        <v>22</v>
      </c>
      <c r="F27" s="1">
        <v>46103</v>
      </c>
      <c r="G27" s="1">
        <v>46131</v>
      </c>
      <c r="H27">
        <v>25.3</v>
      </c>
      <c r="I27" t="b">
        <v>0</v>
      </c>
      <c r="J27">
        <v>98.3</v>
      </c>
      <c r="K27" t="s">
        <v>23</v>
      </c>
    </row>
    <row r="28" spans="1:11" x14ac:dyDescent="0.25">
      <c r="A28">
        <v>27</v>
      </c>
      <c r="B28" t="s">
        <v>35</v>
      </c>
      <c r="C28" t="s">
        <v>36</v>
      </c>
      <c r="D28" t="s">
        <v>27</v>
      </c>
      <c r="E28" t="s">
        <v>25</v>
      </c>
      <c r="F28" s="1">
        <v>45868</v>
      </c>
      <c r="G28" s="1">
        <v>45904</v>
      </c>
      <c r="H28">
        <v>21.5</v>
      </c>
      <c r="I28" t="b">
        <v>1</v>
      </c>
      <c r="J28">
        <v>97.5</v>
      </c>
      <c r="K28" t="s">
        <v>23</v>
      </c>
    </row>
    <row r="29" spans="1:11" x14ac:dyDescent="0.25">
      <c r="A29">
        <v>28</v>
      </c>
      <c r="B29" t="s">
        <v>35</v>
      </c>
      <c r="C29" t="s">
        <v>36</v>
      </c>
      <c r="D29" t="s">
        <v>32</v>
      </c>
      <c r="E29" t="s">
        <v>31</v>
      </c>
      <c r="F29" s="1">
        <v>45902</v>
      </c>
      <c r="G29" s="1">
        <v>45925</v>
      </c>
      <c r="H29">
        <v>15.9</v>
      </c>
      <c r="I29" t="b">
        <v>1</v>
      </c>
      <c r="J29">
        <v>77.599999999999994</v>
      </c>
      <c r="K29" t="s">
        <v>23</v>
      </c>
    </row>
    <row r="30" spans="1:11" x14ac:dyDescent="0.25">
      <c r="A30">
        <v>29</v>
      </c>
      <c r="B30" t="s">
        <v>35</v>
      </c>
      <c r="C30" t="s">
        <v>36</v>
      </c>
      <c r="D30" t="s">
        <v>29</v>
      </c>
      <c r="E30" t="s">
        <v>22</v>
      </c>
      <c r="F30" s="1">
        <v>45821</v>
      </c>
      <c r="H30">
        <v>9</v>
      </c>
      <c r="I30" t="b">
        <v>0</v>
      </c>
      <c r="K30" t="s">
        <v>18</v>
      </c>
    </row>
    <row r="31" spans="1:11" x14ac:dyDescent="0.25">
      <c r="A31">
        <v>30</v>
      </c>
      <c r="B31" t="s">
        <v>35</v>
      </c>
      <c r="C31" t="s">
        <v>36</v>
      </c>
      <c r="D31" t="s">
        <v>28</v>
      </c>
      <c r="E31" t="s">
        <v>22</v>
      </c>
      <c r="F31" s="1">
        <v>45800</v>
      </c>
      <c r="H31">
        <v>14.1</v>
      </c>
      <c r="I31" t="b">
        <v>0</v>
      </c>
      <c r="K31" t="s">
        <v>15</v>
      </c>
    </row>
    <row r="32" spans="1:11" x14ac:dyDescent="0.25">
      <c r="A32">
        <v>31</v>
      </c>
      <c r="B32" t="s">
        <v>35</v>
      </c>
      <c r="C32" t="s">
        <v>36</v>
      </c>
      <c r="D32" t="s">
        <v>28</v>
      </c>
      <c r="E32" t="s">
        <v>22</v>
      </c>
      <c r="F32" s="1">
        <v>45986</v>
      </c>
      <c r="H32">
        <v>7.9</v>
      </c>
      <c r="I32" t="b">
        <v>0</v>
      </c>
      <c r="K32" t="s">
        <v>18</v>
      </c>
    </row>
    <row r="33" spans="1:11" x14ac:dyDescent="0.25">
      <c r="A33">
        <v>32</v>
      </c>
      <c r="B33" t="s">
        <v>35</v>
      </c>
      <c r="C33" t="s">
        <v>36</v>
      </c>
      <c r="D33" t="s">
        <v>19</v>
      </c>
      <c r="E33" t="s">
        <v>14</v>
      </c>
      <c r="F33" s="1">
        <v>46096</v>
      </c>
      <c r="G33" s="1">
        <v>46110</v>
      </c>
      <c r="H33">
        <v>24</v>
      </c>
      <c r="I33" t="b">
        <v>1</v>
      </c>
      <c r="J33">
        <v>93.2</v>
      </c>
      <c r="K33" t="s">
        <v>23</v>
      </c>
    </row>
    <row r="34" spans="1:11" x14ac:dyDescent="0.25">
      <c r="A34">
        <v>33</v>
      </c>
      <c r="B34" t="s">
        <v>35</v>
      </c>
      <c r="C34" t="s">
        <v>36</v>
      </c>
      <c r="D34" t="s">
        <v>39</v>
      </c>
      <c r="E34" t="s">
        <v>25</v>
      </c>
      <c r="F34" s="1">
        <v>46091</v>
      </c>
      <c r="H34">
        <v>14.5</v>
      </c>
      <c r="I34" t="b">
        <v>0</v>
      </c>
      <c r="J34">
        <v>37.4</v>
      </c>
      <c r="K34" t="s">
        <v>20</v>
      </c>
    </row>
    <row r="35" spans="1:11" x14ac:dyDescent="0.25">
      <c r="A35">
        <v>34</v>
      </c>
      <c r="B35" t="s">
        <v>35</v>
      </c>
      <c r="C35" t="s">
        <v>36</v>
      </c>
      <c r="D35" t="s">
        <v>26</v>
      </c>
      <c r="E35" t="s">
        <v>17</v>
      </c>
      <c r="F35" s="1">
        <v>45739</v>
      </c>
      <c r="G35" s="1">
        <v>45750</v>
      </c>
      <c r="H35">
        <v>19.7</v>
      </c>
      <c r="I35" t="b">
        <v>1</v>
      </c>
      <c r="J35">
        <v>95.7</v>
      </c>
      <c r="K35" t="s">
        <v>23</v>
      </c>
    </row>
    <row r="36" spans="1:11" x14ac:dyDescent="0.25">
      <c r="A36">
        <v>35</v>
      </c>
      <c r="B36" t="s">
        <v>35</v>
      </c>
      <c r="C36" t="s">
        <v>36</v>
      </c>
      <c r="D36" t="s">
        <v>32</v>
      </c>
      <c r="E36" t="s">
        <v>31</v>
      </c>
      <c r="F36" s="1">
        <v>46038</v>
      </c>
      <c r="H36">
        <v>22.7</v>
      </c>
      <c r="I36" t="b">
        <v>0</v>
      </c>
      <c r="K36" t="s">
        <v>18</v>
      </c>
    </row>
    <row r="37" spans="1:11" x14ac:dyDescent="0.25">
      <c r="A37">
        <v>36</v>
      </c>
      <c r="B37" t="s">
        <v>35</v>
      </c>
      <c r="C37" t="s">
        <v>36</v>
      </c>
      <c r="D37" t="s">
        <v>27</v>
      </c>
      <c r="E37" t="s">
        <v>25</v>
      </c>
      <c r="F37" s="1">
        <v>45667</v>
      </c>
      <c r="H37">
        <v>17.5</v>
      </c>
      <c r="I37" t="b">
        <v>0</v>
      </c>
      <c r="K37" t="s">
        <v>15</v>
      </c>
    </row>
    <row r="38" spans="1:11" x14ac:dyDescent="0.25">
      <c r="A38">
        <v>37</v>
      </c>
      <c r="B38" t="s">
        <v>35</v>
      </c>
      <c r="C38" t="s">
        <v>36</v>
      </c>
      <c r="D38" t="s">
        <v>37</v>
      </c>
      <c r="E38" t="s">
        <v>17</v>
      </c>
      <c r="F38" s="1">
        <v>45989</v>
      </c>
      <c r="G38" s="1">
        <v>46023</v>
      </c>
      <c r="H38">
        <v>37.700000000000003</v>
      </c>
      <c r="I38" t="b">
        <v>0</v>
      </c>
      <c r="J38">
        <v>64.900000000000006</v>
      </c>
      <c r="K38" t="s">
        <v>23</v>
      </c>
    </row>
    <row r="39" spans="1:11" x14ac:dyDescent="0.25">
      <c r="A39">
        <v>38</v>
      </c>
      <c r="B39" t="s">
        <v>35</v>
      </c>
      <c r="C39" t="s">
        <v>36</v>
      </c>
      <c r="D39" t="s">
        <v>40</v>
      </c>
      <c r="E39" t="s">
        <v>31</v>
      </c>
      <c r="F39" s="1">
        <v>46059</v>
      </c>
      <c r="G39" s="1">
        <v>46070</v>
      </c>
      <c r="H39">
        <v>25.6</v>
      </c>
      <c r="I39" t="b">
        <v>1</v>
      </c>
      <c r="J39">
        <v>67.900000000000006</v>
      </c>
      <c r="K39" t="s">
        <v>23</v>
      </c>
    </row>
    <row r="40" spans="1:11" x14ac:dyDescent="0.25">
      <c r="A40">
        <v>39</v>
      </c>
      <c r="B40" t="s">
        <v>41</v>
      </c>
      <c r="C40" t="s">
        <v>42</v>
      </c>
      <c r="D40" t="s">
        <v>38</v>
      </c>
      <c r="E40" t="s">
        <v>22</v>
      </c>
      <c r="F40" s="1">
        <v>46007</v>
      </c>
      <c r="G40" s="1">
        <v>46024</v>
      </c>
      <c r="H40">
        <v>9.1999999999999993</v>
      </c>
      <c r="I40" t="b">
        <v>0</v>
      </c>
      <c r="J40">
        <v>69.2</v>
      </c>
      <c r="K40" t="s">
        <v>23</v>
      </c>
    </row>
    <row r="41" spans="1:11" x14ac:dyDescent="0.25">
      <c r="A41">
        <v>40</v>
      </c>
      <c r="B41" t="s">
        <v>41</v>
      </c>
      <c r="C41" t="s">
        <v>42</v>
      </c>
      <c r="D41" t="s">
        <v>43</v>
      </c>
      <c r="E41" t="s">
        <v>17</v>
      </c>
      <c r="F41" s="1">
        <v>45717</v>
      </c>
      <c r="G41" s="1">
        <v>45722</v>
      </c>
      <c r="H41">
        <v>22.2</v>
      </c>
      <c r="I41" t="b">
        <v>1</v>
      </c>
      <c r="J41">
        <v>83.2</v>
      </c>
      <c r="K41" t="s">
        <v>23</v>
      </c>
    </row>
    <row r="42" spans="1:11" x14ac:dyDescent="0.25">
      <c r="A42">
        <v>41</v>
      </c>
      <c r="B42" t="s">
        <v>41</v>
      </c>
      <c r="C42" t="s">
        <v>42</v>
      </c>
      <c r="D42" t="s">
        <v>34</v>
      </c>
      <c r="E42" t="s">
        <v>14</v>
      </c>
      <c r="F42" s="1">
        <v>45747</v>
      </c>
      <c r="H42">
        <v>30.6</v>
      </c>
      <c r="I42" t="b">
        <v>0</v>
      </c>
      <c r="K42" t="s">
        <v>15</v>
      </c>
    </row>
    <row r="43" spans="1:11" x14ac:dyDescent="0.25">
      <c r="A43">
        <v>42</v>
      </c>
      <c r="B43" t="s">
        <v>41</v>
      </c>
      <c r="C43" t="s">
        <v>42</v>
      </c>
      <c r="D43" t="s">
        <v>26</v>
      </c>
      <c r="E43" t="s">
        <v>17</v>
      </c>
      <c r="F43" s="1">
        <v>45716</v>
      </c>
      <c r="H43">
        <v>18.3</v>
      </c>
      <c r="I43" t="b">
        <v>0</v>
      </c>
      <c r="J43">
        <v>44.2</v>
      </c>
      <c r="K43" t="s">
        <v>20</v>
      </c>
    </row>
    <row r="44" spans="1:11" x14ac:dyDescent="0.25">
      <c r="A44">
        <v>43</v>
      </c>
      <c r="B44" t="s">
        <v>41</v>
      </c>
      <c r="C44" t="s">
        <v>42</v>
      </c>
      <c r="D44" t="s">
        <v>32</v>
      </c>
      <c r="E44" t="s">
        <v>31</v>
      </c>
      <c r="F44" s="1">
        <v>45956</v>
      </c>
      <c r="G44" s="1">
        <v>45973</v>
      </c>
      <c r="H44">
        <v>37.299999999999997</v>
      </c>
      <c r="I44" t="b">
        <v>0</v>
      </c>
      <c r="J44">
        <v>82.2</v>
      </c>
      <c r="K44" t="s">
        <v>23</v>
      </c>
    </row>
    <row r="45" spans="1:11" x14ac:dyDescent="0.25">
      <c r="A45">
        <v>44</v>
      </c>
      <c r="B45" t="s">
        <v>41</v>
      </c>
      <c r="C45" t="s">
        <v>42</v>
      </c>
      <c r="D45" t="s">
        <v>37</v>
      </c>
      <c r="E45" t="s">
        <v>17</v>
      </c>
      <c r="F45" s="1">
        <v>45943</v>
      </c>
      <c r="G45" s="1">
        <v>45981</v>
      </c>
      <c r="H45">
        <v>19.100000000000001</v>
      </c>
      <c r="I45" t="b">
        <v>1</v>
      </c>
      <c r="J45">
        <v>83.8</v>
      </c>
      <c r="K45" t="s">
        <v>23</v>
      </c>
    </row>
    <row r="46" spans="1:11" x14ac:dyDescent="0.25">
      <c r="A46">
        <v>45</v>
      </c>
      <c r="B46" t="s">
        <v>41</v>
      </c>
      <c r="C46" t="s">
        <v>42</v>
      </c>
      <c r="D46" t="s">
        <v>30</v>
      </c>
      <c r="E46" t="s">
        <v>31</v>
      </c>
      <c r="F46" s="1">
        <v>46077</v>
      </c>
      <c r="G46" s="1">
        <v>46111</v>
      </c>
      <c r="H46">
        <v>32.299999999999997</v>
      </c>
      <c r="I46" t="b">
        <v>0</v>
      </c>
      <c r="J46">
        <v>64.400000000000006</v>
      </c>
      <c r="K46" t="s">
        <v>23</v>
      </c>
    </row>
    <row r="47" spans="1:11" x14ac:dyDescent="0.25">
      <c r="A47">
        <v>46</v>
      </c>
      <c r="B47" t="s">
        <v>41</v>
      </c>
      <c r="C47" t="s">
        <v>42</v>
      </c>
      <c r="D47" t="s">
        <v>43</v>
      </c>
      <c r="E47" t="s">
        <v>17</v>
      </c>
      <c r="F47" s="1">
        <v>46031</v>
      </c>
      <c r="G47" s="1">
        <v>46046</v>
      </c>
      <c r="H47">
        <v>23.1</v>
      </c>
      <c r="I47" t="b">
        <v>1</v>
      </c>
      <c r="J47">
        <v>94.7</v>
      </c>
      <c r="K47" t="s">
        <v>23</v>
      </c>
    </row>
    <row r="48" spans="1:11" x14ac:dyDescent="0.25">
      <c r="A48">
        <v>47</v>
      </c>
      <c r="B48" t="s">
        <v>41</v>
      </c>
      <c r="C48" t="s">
        <v>42</v>
      </c>
      <c r="D48" t="s">
        <v>19</v>
      </c>
      <c r="E48" t="s">
        <v>14</v>
      </c>
      <c r="F48" s="1">
        <v>45929</v>
      </c>
      <c r="G48" s="1">
        <v>45945</v>
      </c>
      <c r="H48">
        <v>19.3</v>
      </c>
      <c r="I48" t="b">
        <v>1</v>
      </c>
      <c r="J48">
        <v>94.7</v>
      </c>
      <c r="K48" t="s">
        <v>23</v>
      </c>
    </row>
    <row r="49" spans="1:11" x14ac:dyDescent="0.25">
      <c r="A49">
        <v>48</v>
      </c>
      <c r="B49" t="s">
        <v>41</v>
      </c>
      <c r="C49" t="s">
        <v>42</v>
      </c>
      <c r="D49" t="s">
        <v>27</v>
      </c>
      <c r="E49" t="s">
        <v>25</v>
      </c>
      <c r="F49" s="1">
        <v>45862</v>
      </c>
      <c r="G49" s="1">
        <v>45888</v>
      </c>
      <c r="H49">
        <v>30.9</v>
      </c>
      <c r="I49" t="b">
        <v>1</v>
      </c>
      <c r="J49">
        <v>64.2</v>
      </c>
      <c r="K49" t="s">
        <v>23</v>
      </c>
    </row>
    <row r="50" spans="1:11" x14ac:dyDescent="0.25">
      <c r="A50">
        <v>49</v>
      </c>
      <c r="B50" t="s">
        <v>41</v>
      </c>
      <c r="C50" t="s">
        <v>42</v>
      </c>
      <c r="D50" t="s">
        <v>38</v>
      </c>
      <c r="E50" t="s">
        <v>22</v>
      </c>
      <c r="F50" s="1">
        <v>45687</v>
      </c>
      <c r="G50" s="1">
        <v>45711</v>
      </c>
      <c r="H50">
        <v>33.700000000000003</v>
      </c>
      <c r="I50" t="b">
        <v>1</v>
      </c>
      <c r="J50">
        <v>65.8</v>
      </c>
      <c r="K50" t="s">
        <v>23</v>
      </c>
    </row>
    <row r="51" spans="1:11" x14ac:dyDescent="0.25">
      <c r="A51">
        <v>50</v>
      </c>
      <c r="B51" t="s">
        <v>41</v>
      </c>
      <c r="C51" t="s">
        <v>42</v>
      </c>
      <c r="D51" t="s">
        <v>39</v>
      </c>
      <c r="E51" t="s">
        <v>25</v>
      </c>
      <c r="F51" s="1">
        <v>46072</v>
      </c>
      <c r="G51" s="1">
        <v>46100</v>
      </c>
      <c r="H51">
        <v>9.5</v>
      </c>
      <c r="I51" t="b">
        <v>0</v>
      </c>
      <c r="J51">
        <v>60.8</v>
      </c>
      <c r="K51" t="s">
        <v>23</v>
      </c>
    </row>
    <row r="52" spans="1:11" x14ac:dyDescent="0.25">
      <c r="A52">
        <v>51</v>
      </c>
      <c r="B52" t="s">
        <v>41</v>
      </c>
      <c r="C52" t="s">
        <v>42</v>
      </c>
      <c r="D52" t="s">
        <v>32</v>
      </c>
      <c r="E52" t="s">
        <v>31</v>
      </c>
      <c r="F52" s="1">
        <v>45682</v>
      </c>
      <c r="G52" s="1">
        <v>45694</v>
      </c>
      <c r="H52">
        <v>25.3</v>
      </c>
      <c r="I52" t="b">
        <v>1</v>
      </c>
      <c r="J52">
        <v>75.7</v>
      </c>
      <c r="K52" t="s">
        <v>23</v>
      </c>
    </row>
    <row r="53" spans="1:11" x14ac:dyDescent="0.25">
      <c r="A53">
        <v>52</v>
      </c>
      <c r="B53" t="s">
        <v>41</v>
      </c>
      <c r="C53" t="s">
        <v>42</v>
      </c>
      <c r="D53" t="s">
        <v>40</v>
      </c>
      <c r="E53" t="s">
        <v>31</v>
      </c>
      <c r="F53" s="1">
        <v>45801</v>
      </c>
      <c r="H53">
        <v>34.6</v>
      </c>
      <c r="I53" t="b">
        <v>0</v>
      </c>
      <c r="K53" t="s">
        <v>18</v>
      </c>
    </row>
    <row r="54" spans="1:11" x14ac:dyDescent="0.25">
      <c r="A54">
        <v>53</v>
      </c>
      <c r="B54" t="s">
        <v>41</v>
      </c>
      <c r="C54" t="s">
        <v>42</v>
      </c>
      <c r="D54" t="s">
        <v>24</v>
      </c>
      <c r="E54" t="s">
        <v>25</v>
      </c>
      <c r="F54" s="1">
        <v>45677</v>
      </c>
      <c r="G54" s="1">
        <v>45701</v>
      </c>
      <c r="H54">
        <v>13</v>
      </c>
      <c r="I54" t="b">
        <v>1</v>
      </c>
      <c r="J54">
        <v>76.7</v>
      </c>
      <c r="K54" t="s">
        <v>23</v>
      </c>
    </row>
    <row r="55" spans="1:11" x14ac:dyDescent="0.25">
      <c r="A55">
        <v>54</v>
      </c>
      <c r="B55" t="s">
        <v>41</v>
      </c>
      <c r="C55" t="s">
        <v>42</v>
      </c>
      <c r="D55" t="s">
        <v>44</v>
      </c>
      <c r="E55" t="s">
        <v>31</v>
      </c>
      <c r="F55" s="1">
        <v>45680</v>
      </c>
      <c r="G55" s="1">
        <v>45685</v>
      </c>
      <c r="H55">
        <v>7.7</v>
      </c>
      <c r="I55" t="b">
        <v>1</v>
      </c>
      <c r="J55">
        <v>62.1</v>
      </c>
      <c r="K55" t="s">
        <v>23</v>
      </c>
    </row>
    <row r="56" spans="1:11" x14ac:dyDescent="0.25">
      <c r="A56">
        <v>55</v>
      </c>
      <c r="B56" t="s">
        <v>41</v>
      </c>
      <c r="C56" t="s">
        <v>42</v>
      </c>
      <c r="D56" t="s">
        <v>21</v>
      </c>
      <c r="E56" t="s">
        <v>22</v>
      </c>
      <c r="F56" s="1">
        <v>46074</v>
      </c>
      <c r="H56">
        <v>36.5</v>
      </c>
      <c r="I56" t="b">
        <v>0</v>
      </c>
      <c r="K56" t="s">
        <v>18</v>
      </c>
    </row>
    <row r="57" spans="1:11" x14ac:dyDescent="0.25">
      <c r="A57">
        <v>56</v>
      </c>
      <c r="B57" t="s">
        <v>41</v>
      </c>
      <c r="C57" t="s">
        <v>42</v>
      </c>
      <c r="D57" t="s">
        <v>30</v>
      </c>
      <c r="E57" t="s">
        <v>31</v>
      </c>
      <c r="F57" s="1">
        <v>46098</v>
      </c>
      <c r="H57">
        <v>27.1</v>
      </c>
      <c r="I57" t="b">
        <v>0</v>
      </c>
      <c r="K57" t="s">
        <v>18</v>
      </c>
    </row>
    <row r="58" spans="1:11" x14ac:dyDescent="0.25">
      <c r="A58">
        <v>57</v>
      </c>
      <c r="B58" t="s">
        <v>41</v>
      </c>
      <c r="C58" t="s">
        <v>42</v>
      </c>
      <c r="D58" t="s">
        <v>16</v>
      </c>
      <c r="E58" t="s">
        <v>17</v>
      </c>
      <c r="F58" s="1">
        <v>46008</v>
      </c>
      <c r="G58" s="1">
        <v>46042</v>
      </c>
      <c r="H58">
        <v>22.5</v>
      </c>
      <c r="I58" t="b">
        <v>1</v>
      </c>
      <c r="J58">
        <v>78.5</v>
      </c>
      <c r="K58" t="s">
        <v>23</v>
      </c>
    </row>
    <row r="59" spans="1:11" x14ac:dyDescent="0.25">
      <c r="A59">
        <v>58</v>
      </c>
      <c r="B59" t="s">
        <v>45</v>
      </c>
      <c r="C59" t="s">
        <v>46</v>
      </c>
      <c r="D59" t="s">
        <v>34</v>
      </c>
      <c r="E59" t="s">
        <v>14</v>
      </c>
      <c r="F59" s="1">
        <v>45966</v>
      </c>
      <c r="G59" s="1">
        <v>45996</v>
      </c>
      <c r="H59">
        <v>9</v>
      </c>
      <c r="I59" t="b">
        <v>1</v>
      </c>
      <c r="J59">
        <v>76.7</v>
      </c>
      <c r="K59" t="s">
        <v>23</v>
      </c>
    </row>
    <row r="60" spans="1:11" x14ac:dyDescent="0.25">
      <c r="A60">
        <v>59</v>
      </c>
      <c r="B60" t="s">
        <v>45</v>
      </c>
      <c r="C60" t="s">
        <v>46</v>
      </c>
      <c r="D60" t="s">
        <v>33</v>
      </c>
      <c r="E60" t="s">
        <v>14</v>
      </c>
      <c r="F60" s="1">
        <v>45810</v>
      </c>
      <c r="G60" s="1">
        <v>45829</v>
      </c>
      <c r="H60">
        <v>15.8</v>
      </c>
      <c r="I60" t="b">
        <v>1</v>
      </c>
      <c r="J60">
        <v>87.4</v>
      </c>
      <c r="K60" t="s">
        <v>23</v>
      </c>
    </row>
    <row r="61" spans="1:11" x14ac:dyDescent="0.25">
      <c r="A61">
        <v>60</v>
      </c>
      <c r="B61" t="s">
        <v>45</v>
      </c>
      <c r="C61" t="s">
        <v>46</v>
      </c>
      <c r="D61" t="s">
        <v>21</v>
      </c>
      <c r="E61" t="s">
        <v>22</v>
      </c>
      <c r="F61" s="1">
        <v>46014</v>
      </c>
      <c r="H61">
        <v>21.3</v>
      </c>
      <c r="I61" t="b">
        <v>0</v>
      </c>
      <c r="J61">
        <v>45.5</v>
      </c>
      <c r="K61" t="s">
        <v>20</v>
      </c>
    </row>
    <row r="62" spans="1:11" x14ac:dyDescent="0.25">
      <c r="A62">
        <v>61</v>
      </c>
      <c r="B62" t="s">
        <v>45</v>
      </c>
      <c r="C62" t="s">
        <v>46</v>
      </c>
      <c r="D62" t="s">
        <v>26</v>
      </c>
      <c r="E62" t="s">
        <v>17</v>
      </c>
      <c r="F62" s="1">
        <v>45878</v>
      </c>
      <c r="H62">
        <v>23.2</v>
      </c>
      <c r="I62" t="b">
        <v>0</v>
      </c>
      <c r="K62" t="s">
        <v>18</v>
      </c>
    </row>
    <row r="63" spans="1:11" x14ac:dyDescent="0.25">
      <c r="A63">
        <v>62</v>
      </c>
      <c r="B63" t="s">
        <v>45</v>
      </c>
      <c r="C63" t="s">
        <v>46</v>
      </c>
      <c r="D63" t="s">
        <v>13</v>
      </c>
      <c r="E63" t="s">
        <v>14</v>
      </c>
      <c r="F63" s="1">
        <v>45690</v>
      </c>
      <c r="H63">
        <v>11.3</v>
      </c>
      <c r="I63" t="b">
        <v>0</v>
      </c>
      <c r="K63" t="s">
        <v>15</v>
      </c>
    </row>
    <row r="64" spans="1:11" x14ac:dyDescent="0.25">
      <c r="A64">
        <v>63</v>
      </c>
      <c r="B64" t="s">
        <v>45</v>
      </c>
      <c r="C64" t="s">
        <v>46</v>
      </c>
      <c r="D64" t="s">
        <v>24</v>
      </c>
      <c r="E64" t="s">
        <v>25</v>
      </c>
      <c r="F64" s="1">
        <v>45884</v>
      </c>
      <c r="G64" s="1">
        <v>45923</v>
      </c>
      <c r="H64">
        <v>26.1</v>
      </c>
      <c r="I64" t="b">
        <v>0</v>
      </c>
      <c r="J64">
        <v>89</v>
      </c>
      <c r="K64" t="s">
        <v>23</v>
      </c>
    </row>
    <row r="65" spans="1:11" x14ac:dyDescent="0.25">
      <c r="A65">
        <v>64</v>
      </c>
      <c r="B65" t="s">
        <v>45</v>
      </c>
      <c r="C65" t="s">
        <v>46</v>
      </c>
      <c r="D65" t="s">
        <v>47</v>
      </c>
      <c r="E65" t="s">
        <v>25</v>
      </c>
      <c r="F65" s="1">
        <v>45893</v>
      </c>
      <c r="G65" s="1">
        <v>45935</v>
      </c>
      <c r="H65">
        <v>38.5</v>
      </c>
      <c r="I65" t="b">
        <v>1</v>
      </c>
      <c r="J65">
        <v>83.7</v>
      </c>
      <c r="K65" t="s">
        <v>23</v>
      </c>
    </row>
    <row r="66" spans="1:11" x14ac:dyDescent="0.25">
      <c r="A66">
        <v>65</v>
      </c>
      <c r="B66" t="s">
        <v>45</v>
      </c>
      <c r="C66" t="s">
        <v>46</v>
      </c>
      <c r="D66" t="s">
        <v>39</v>
      </c>
      <c r="E66" t="s">
        <v>25</v>
      </c>
      <c r="F66" s="1">
        <v>46106</v>
      </c>
      <c r="H66">
        <v>13.1</v>
      </c>
      <c r="I66" t="b">
        <v>0</v>
      </c>
      <c r="J66">
        <v>32.799999999999997</v>
      </c>
      <c r="K66" t="s">
        <v>20</v>
      </c>
    </row>
    <row r="67" spans="1:11" x14ac:dyDescent="0.25">
      <c r="A67">
        <v>66</v>
      </c>
      <c r="B67" t="s">
        <v>45</v>
      </c>
      <c r="C67" t="s">
        <v>46</v>
      </c>
      <c r="D67" t="s">
        <v>24</v>
      </c>
      <c r="E67" t="s">
        <v>25</v>
      </c>
      <c r="F67" s="1">
        <v>45733</v>
      </c>
      <c r="H67">
        <v>24.6</v>
      </c>
      <c r="I67" t="b">
        <v>0</v>
      </c>
      <c r="K67" t="s">
        <v>15</v>
      </c>
    </row>
    <row r="68" spans="1:11" x14ac:dyDescent="0.25">
      <c r="A68">
        <v>67</v>
      </c>
      <c r="B68" t="s">
        <v>45</v>
      </c>
      <c r="C68" t="s">
        <v>46</v>
      </c>
      <c r="D68" t="s">
        <v>27</v>
      </c>
      <c r="E68" t="s">
        <v>25</v>
      </c>
      <c r="F68" s="1">
        <v>45963</v>
      </c>
      <c r="H68">
        <v>32.799999999999997</v>
      </c>
      <c r="I68" t="b">
        <v>0</v>
      </c>
      <c r="K68" t="s">
        <v>18</v>
      </c>
    </row>
    <row r="69" spans="1:11" x14ac:dyDescent="0.25">
      <c r="A69">
        <v>68</v>
      </c>
      <c r="B69" t="s">
        <v>45</v>
      </c>
      <c r="C69" t="s">
        <v>46</v>
      </c>
      <c r="D69" t="s">
        <v>27</v>
      </c>
      <c r="E69" t="s">
        <v>25</v>
      </c>
      <c r="F69" s="1">
        <v>45764</v>
      </c>
      <c r="H69">
        <v>8.3000000000000007</v>
      </c>
      <c r="I69" t="b">
        <v>0</v>
      </c>
      <c r="J69">
        <v>32.5</v>
      </c>
      <c r="K69" t="s">
        <v>20</v>
      </c>
    </row>
    <row r="70" spans="1:11" x14ac:dyDescent="0.25">
      <c r="A70">
        <v>69</v>
      </c>
      <c r="B70" t="s">
        <v>45</v>
      </c>
      <c r="C70" t="s">
        <v>46</v>
      </c>
      <c r="D70" t="s">
        <v>24</v>
      </c>
      <c r="E70" t="s">
        <v>25</v>
      </c>
      <c r="F70" s="1">
        <v>45985</v>
      </c>
      <c r="H70">
        <v>28.2</v>
      </c>
      <c r="I70" t="b">
        <v>0</v>
      </c>
      <c r="K70" t="s">
        <v>18</v>
      </c>
    </row>
    <row r="71" spans="1:11" x14ac:dyDescent="0.25">
      <c r="A71">
        <v>70</v>
      </c>
      <c r="B71" t="s">
        <v>45</v>
      </c>
      <c r="C71" t="s">
        <v>46</v>
      </c>
      <c r="D71" t="s">
        <v>34</v>
      </c>
      <c r="E71" t="s">
        <v>14</v>
      </c>
      <c r="F71" s="1">
        <v>45990</v>
      </c>
      <c r="H71">
        <v>13.7</v>
      </c>
      <c r="I71" t="b">
        <v>0</v>
      </c>
      <c r="K71" t="s">
        <v>18</v>
      </c>
    </row>
    <row r="72" spans="1:11" x14ac:dyDescent="0.25">
      <c r="A72">
        <v>71</v>
      </c>
      <c r="B72" t="s">
        <v>45</v>
      </c>
      <c r="C72" t="s">
        <v>46</v>
      </c>
      <c r="D72" t="s">
        <v>34</v>
      </c>
      <c r="E72" t="s">
        <v>14</v>
      </c>
      <c r="F72" s="1">
        <v>45897</v>
      </c>
      <c r="G72" s="1">
        <v>45914</v>
      </c>
      <c r="H72">
        <v>9.3000000000000007</v>
      </c>
      <c r="I72" t="b">
        <v>1</v>
      </c>
      <c r="J72">
        <v>77.5</v>
      </c>
      <c r="K72" t="s">
        <v>23</v>
      </c>
    </row>
    <row r="73" spans="1:11" x14ac:dyDescent="0.25">
      <c r="A73">
        <v>72</v>
      </c>
      <c r="B73" t="s">
        <v>45</v>
      </c>
      <c r="C73" t="s">
        <v>46</v>
      </c>
      <c r="D73" t="s">
        <v>34</v>
      </c>
      <c r="E73" t="s">
        <v>14</v>
      </c>
      <c r="F73" s="1">
        <v>45715</v>
      </c>
      <c r="H73">
        <v>37.700000000000003</v>
      </c>
      <c r="I73" t="b">
        <v>0</v>
      </c>
      <c r="K73" t="s">
        <v>15</v>
      </c>
    </row>
    <row r="74" spans="1:11" x14ac:dyDescent="0.25">
      <c r="A74">
        <v>73</v>
      </c>
      <c r="B74" t="s">
        <v>45</v>
      </c>
      <c r="C74" t="s">
        <v>46</v>
      </c>
      <c r="D74" t="s">
        <v>38</v>
      </c>
      <c r="E74" t="s">
        <v>22</v>
      </c>
      <c r="F74" s="1">
        <v>45933</v>
      </c>
      <c r="G74" s="1">
        <v>45957</v>
      </c>
      <c r="H74">
        <v>39.5</v>
      </c>
      <c r="I74" t="b">
        <v>1</v>
      </c>
      <c r="J74">
        <v>98</v>
      </c>
      <c r="K74" t="s">
        <v>23</v>
      </c>
    </row>
    <row r="75" spans="1:11" x14ac:dyDescent="0.25">
      <c r="A75">
        <v>74</v>
      </c>
      <c r="B75" t="s">
        <v>45</v>
      </c>
      <c r="C75" t="s">
        <v>46</v>
      </c>
      <c r="D75" t="s">
        <v>47</v>
      </c>
      <c r="E75" t="s">
        <v>25</v>
      </c>
      <c r="F75" s="1">
        <v>45779</v>
      </c>
      <c r="H75">
        <v>8.4</v>
      </c>
      <c r="I75" t="b">
        <v>0</v>
      </c>
      <c r="K75" t="s">
        <v>15</v>
      </c>
    </row>
    <row r="76" spans="1:11" x14ac:dyDescent="0.25">
      <c r="A76">
        <v>75</v>
      </c>
      <c r="B76" t="s">
        <v>45</v>
      </c>
      <c r="C76" t="s">
        <v>46</v>
      </c>
      <c r="D76" t="s">
        <v>24</v>
      </c>
      <c r="E76" t="s">
        <v>25</v>
      </c>
      <c r="F76" s="1">
        <v>45672</v>
      </c>
      <c r="G76" s="1">
        <v>45704</v>
      </c>
      <c r="H76">
        <v>20.399999999999999</v>
      </c>
      <c r="I76" t="b">
        <v>1</v>
      </c>
      <c r="J76">
        <v>71.8</v>
      </c>
      <c r="K76" t="s">
        <v>23</v>
      </c>
    </row>
    <row r="77" spans="1:11" x14ac:dyDescent="0.25">
      <c r="A77">
        <v>76</v>
      </c>
      <c r="B77" t="s">
        <v>48</v>
      </c>
      <c r="C77" t="s">
        <v>49</v>
      </c>
      <c r="D77" t="s">
        <v>27</v>
      </c>
      <c r="E77" t="s">
        <v>25</v>
      </c>
      <c r="F77" s="1">
        <v>45857</v>
      </c>
      <c r="H77">
        <v>32.1</v>
      </c>
      <c r="I77" t="b">
        <v>0</v>
      </c>
      <c r="J77">
        <v>58.9</v>
      </c>
      <c r="K77" t="s">
        <v>20</v>
      </c>
    </row>
    <row r="78" spans="1:11" x14ac:dyDescent="0.25">
      <c r="A78">
        <v>77</v>
      </c>
      <c r="B78" t="s">
        <v>48</v>
      </c>
      <c r="C78" t="s">
        <v>49</v>
      </c>
      <c r="D78" t="s">
        <v>29</v>
      </c>
      <c r="E78" t="s">
        <v>22</v>
      </c>
      <c r="F78" s="1">
        <v>46053</v>
      </c>
      <c r="H78">
        <v>7.8</v>
      </c>
      <c r="I78" t="b">
        <v>0</v>
      </c>
      <c r="K78" t="s">
        <v>18</v>
      </c>
    </row>
    <row r="79" spans="1:11" x14ac:dyDescent="0.25">
      <c r="A79">
        <v>78</v>
      </c>
      <c r="B79" t="s">
        <v>48</v>
      </c>
      <c r="C79" t="s">
        <v>49</v>
      </c>
      <c r="D79" t="s">
        <v>28</v>
      </c>
      <c r="E79" t="s">
        <v>22</v>
      </c>
      <c r="F79" s="1">
        <v>46107</v>
      </c>
      <c r="H79">
        <v>7.3</v>
      </c>
      <c r="I79" t="b">
        <v>0</v>
      </c>
      <c r="K79" t="s">
        <v>15</v>
      </c>
    </row>
    <row r="80" spans="1:11" x14ac:dyDescent="0.25">
      <c r="A80">
        <v>79</v>
      </c>
      <c r="B80" t="s">
        <v>48</v>
      </c>
      <c r="C80" t="s">
        <v>49</v>
      </c>
      <c r="D80" t="s">
        <v>13</v>
      </c>
      <c r="E80" t="s">
        <v>14</v>
      </c>
      <c r="F80" s="1">
        <v>46061</v>
      </c>
      <c r="G80" s="1">
        <v>46100</v>
      </c>
      <c r="H80">
        <v>9.1</v>
      </c>
      <c r="I80" t="b">
        <v>1</v>
      </c>
      <c r="J80">
        <v>67.900000000000006</v>
      </c>
      <c r="K80" t="s">
        <v>23</v>
      </c>
    </row>
    <row r="81" spans="1:11" x14ac:dyDescent="0.25">
      <c r="A81">
        <v>80</v>
      </c>
      <c r="B81" t="s">
        <v>48</v>
      </c>
      <c r="C81" t="s">
        <v>49</v>
      </c>
      <c r="D81" t="s">
        <v>30</v>
      </c>
      <c r="E81" t="s">
        <v>31</v>
      </c>
      <c r="F81" s="1">
        <v>46067</v>
      </c>
      <c r="G81" s="1">
        <v>46083</v>
      </c>
      <c r="H81">
        <v>4.2</v>
      </c>
      <c r="I81" t="b">
        <v>0</v>
      </c>
      <c r="J81">
        <v>84.2</v>
      </c>
      <c r="K81" t="s">
        <v>23</v>
      </c>
    </row>
    <row r="82" spans="1:11" x14ac:dyDescent="0.25">
      <c r="A82">
        <v>81</v>
      </c>
      <c r="B82" t="s">
        <v>48</v>
      </c>
      <c r="C82" t="s">
        <v>49</v>
      </c>
      <c r="D82" t="s">
        <v>19</v>
      </c>
      <c r="E82" t="s">
        <v>14</v>
      </c>
      <c r="F82" s="1">
        <v>46018</v>
      </c>
      <c r="H82">
        <v>6.1</v>
      </c>
      <c r="I82" t="b">
        <v>0</v>
      </c>
      <c r="K82" t="s">
        <v>18</v>
      </c>
    </row>
    <row r="83" spans="1:11" x14ac:dyDescent="0.25">
      <c r="A83">
        <v>82</v>
      </c>
      <c r="B83" t="s">
        <v>48</v>
      </c>
      <c r="C83" t="s">
        <v>49</v>
      </c>
      <c r="D83" t="s">
        <v>28</v>
      </c>
      <c r="E83" t="s">
        <v>22</v>
      </c>
      <c r="F83" s="1">
        <v>46018</v>
      </c>
      <c r="H83">
        <v>29.1</v>
      </c>
      <c r="I83" t="b">
        <v>0</v>
      </c>
      <c r="K83" t="s">
        <v>18</v>
      </c>
    </row>
    <row r="84" spans="1:11" x14ac:dyDescent="0.25">
      <c r="A84">
        <v>83</v>
      </c>
      <c r="B84" t="s">
        <v>48</v>
      </c>
      <c r="C84" t="s">
        <v>49</v>
      </c>
      <c r="D84" t="s">
        <v>26</v>
      </c>
      <c r="E84" t="s">
        <v>17</v>
      </c>
      <c r="F84" s="1">
        <v>46035</v>
      </c>
      <c r="G84" s="1">
        <v>46057</v>
      </c>
      <c r="H84">
        <v>8.5</v>
      </c>
      <c r="I84" t="b">
        <v>1</v>
      </c>
      <c r="J84">
        <v>89.8</v>
      </c>
      <c r="K84" t="s">
        <v>23</v>
      </c>
    </row>
    <row r="85" spans="1:11" x14ac:dyDescent="0.25">
      <c r="A85">
        <v>84</v>
      </c>
      <c r="B85" t="s">
        <v>48</v>
      </c>
      <c r="C85" t="s">
        <v>49</v>
      </c>
      <c r="D85" t="s">
        <v>32</v>
      </c>
      <c r="E85" t="s">
        <v>31</v>
      </c>
      <c r="F85" s="1">
        <v>45941</v>
      </c>
      <c r="G85" s="1">
        <v>45949</v>
      </c>
      <c r="H85">
        <v>30.4</v>
      </c>
      <c r="I85" t="b">
        <v>0</v>
      </c>
      <c r="J85">
        <v>70.8</v>
      </c>
      <c r="K85" t="s">
        <v>23</v>
      </c>
    </row>
    <row r="86" spans="1:11" x14ac:dyDescent="0.25">
      <c r="A86">
        <v>85</v>
      </c>
      <c r="B86" t="s">
        <v>48</v>
      </c>
      <c r="C86" t="s">
        <v>49</v>
      </c>
      <c r="D86" t="s">
        <v>37</v>
      </c>
      <c r="E86" t="s">
        <v>17</v>
      </c>
      <c r="F86" s="1">
        <v>45977</v>
      </c>
      <c r="H86">
        <v>6</v>
      </c>
      <c r="I86" t="b">
        <v>0</v>
      </c>
      <c r="K86" t="s">
        <v>15</v>
      </c>
    </row>
    <row r="87" spans="1:11" x14ac:dyDescent="0.25">
      <c r="A87">
        <v>86</v>
      </c>
      <c r="B87" t="s">
        <v>48</v>
      </c>
      <c r="C87" t="s">
        <v>49</v>
      </c>
      <c r="D87" t="s">
        <v>37</v>
      </c>
      <c r="E87" t="s">
        <v>17</v>
      </c>
      <c r="F87" s="1">
        <v>45935</v>
      </c>
      <c r="H87">
        <v>29.5</v>
      </c>
      <c r="I87" t="b">
        <v>0</v>
      </c>
      <c r="K87" t="s">
        <v>18</v>
      </c>
    </row>
    <row r="88" spans="1:11" x14ac:dyDescent="0.25">
      <c r="A88">
        <v>87</v>
      </c>
      <c r="B88" t="s">
        <v>48</v>
      </c>
      <c r="C88" t="s">
        <v>49</v>
      </c>
      <c r="D88" t="s">
        <v>44</v>
      </c>
      <c r="E88" t="s">
        <v>31</v>
      </c>
      <c r="F88" s="1">
        <v>45735</v>
      </c>
      <c r="G88" s="1">
        <v>45754</v>
      </c>
      <c r="H88">
        <v>39.299999999999997</v>
      </c>
      <c r="I88" t="b">
        <v>1</v>
      </c>
      <c r="J88">
        <v>91.4</v>
      </c>
      <c r="K88" t="s">
        <v>23</v>
      </c>
    </row>
    <row r="89" spans="1:11" x14ac:dyDescent="0.25">
      <c r="A89">
        <v>88</v>
      </c>
      <c r="B89" t="s">
        <v>48</v>
      </c>
      <c r="C89" t="s">
        <v>49</v>
      </c>
      <c r="D89" t="s">
        <v>44</v>
      </c>
      <c r="E89" t="s">
        <v>31</v>
      </c>
      <c r="F89" s="1">
        <v>45944</v>
      </c>
      <c r="G89" s="1">
        <v>45983</v>
      </c>
      <c r="H89">
        <v>38.1</v>
      </c>
      <c r="I89" t="b">
        <v>1</v>
      </c>
      <c r="J89">
        <v>83.1</v>
      </c>
      <c r="K89" t="s">
        <v>23</v>
      </c>
    </row>
    <row r="90" spans="1:11" x14ac:dyDescent="0.25">
      <c r="A90">
        <v>89</v>
      </c>
      <c r="B90" t="s">
        <v>48</v>
      </c>
      <c r="C90" t="s">
        <v>49</v>
      </c>
      <c r="D90" t="s">
        <v>24</v>
      </c>
      <c r="E90" t="s">
        <v>25</v>
      </c>
      <c r="F90" s="1">
        <v>45972</v>
      </c>
      <c r="H90">
        <v>9.3000000000000007</v>
      </c>
      <c r="I90" t="b">
        <v>0</v>
      </c>
      <c r="J90">
        <v>41.7</v>
      </c>
      <c r="K90" t="s">
        <v>20</v>
      </c>
    </row>
    <row r="91" spans="1:11" x14ac:dyDescent="0.25">
      <c r="A91">
        <v>90</v>
      </c>
      <c r="B91" t="s">
        <v>48</v>
      </c>
      <c r="C91" t="s">
        <v>49</v>
      </c>
      <c r="D91" t="s">
        <v>19</v>
      </c>
      <c r="E91" t="s">
        <v>14</v>
      </c>
      <c r="F91" s="1">
        <v>45871</v>
      </c>
      <c r="G91" s="1">
        <v>45881</v>
      </c>
      <c r="H91">
        <v>14</v>
      </c>
      <c r="I91" t="b">
        <v>1</v>
      </c>
      <c r="J91">
        <v>77.099999999999994</v>
      </c>
      <c r="K91" t="s">
        <v>23</v>
      </c>
    </row>
    <row r="92" spans="1:11" x14ac:dyDescent="0.25">
      <c r="A92">
        <v>91</v>
      </c>
      <c r="B92" t="s">
        <v>48</v>
      </c>
      <c r="C92" t="s">
        <v>49</v>
      </c>
      <c r="D92" t="s">
        <v>40</v>
      </c>
      <c r="E92" t="s">
        <v>31</v>
      </c>
      <c r="F92" s="1">
        <v>45932</v>
      </c>
      <c r="G92" s="1">
        <v>45953</v>
      </c>
      <c r="H92">
        <v>18.7</v>
      </c>
      <c r="I92" t="b">
        <v>0</v>
      </c>
      <c r="J92">
        <v>83.5</v>
      </c>
      <c r="K92" t="s">
        <v>23</v>
      </c>
    </row>
    <row r="93" spans="1:11" x14ac:dyDescent="0.25">
      <c r="A93">
        <v>92</v>
      </c>
      <c r="B93" t="s">
        <v>48</v>
      </c>
      <c r="C93" t="s">
        <v>49</v>
      </c>
      <c r="D93" t="s">
        <v>13</v>
      </c>
      <c r="E93" t="s">
        <v>14</v>
      </c>
      <c r="F93" s="1">
        <v>45800</v>
      </c>
      <c r="G93" s="1">
        <v>45841</v>
      </c>
      <c r="H93">
        <v>21.1</v>
      </c>
      <c r="I93" t="b">
        <v>0</v>
      </c>
      <c r="J93">
        <v>82.9</v>
      </c>
      <c r="K93" t="s">
        <v>23</v>
      </c>
    </row>
    <row r="94" spans="1:11" x14ac:dyDescent="0.25">
      <c r="A94">
        <v>93</v>
      </c>
      <c r="B94" t="s">
        <v>48</v>
      </c>
      <c r="C94" t="s">
        <v>49</v>
      </c>
      <c r="D94" t="s">
        <v>44</v>
      </c>
      <c r="E94" t="s">
        <v>31</v>
      </c>
      <c r="F94" s="1">
        <v>45912</v>
      </c>
      <c r="H94">
        <v>27.5</v>
      </c>
      <c r="I94" t="b">
        <v>0</v>
      </c>
      <c r="K94" t="s">
        <v>15</v>
      </c>
    </row>
    <row r="95" spans="1:11" x14ac:dyDescent="0.25">
      <c r="A95">
        <v>94</v>
      </c>
      <c r="B95" t="s">
        <v>48</v>
      </c>
      <c r="C95" t="s">
        <v>49</v>
      </c>
      <c r="D95" t="s">
        <v>13</v>
      </c>
      <c r="E95" t="s">
        <v>14</v>
      </c>
      <c r="F95" s="1">
        <v>45800</v>
      </c>
      <c r="G95" s="1">
        <v>45814</v>
      </c>
      <c r="H95">
        <v>19.5</v>
      </c>
      <c r="I95" t="b">
        <v>1</v>
      </c>
      <c r="J95">
        <v>74.400000000000006</v>
      </c>
      <c r="K95" t="s">
        <v>23</v>
      </c>
    </row>
    <row r="96" spans="1:11" x14ac:dyDescent="0.25">
      <c r="A96">
        <v>95</v>
      </c>
      <c r="B96" t="s">
        <v>48</v>
      </c>
      <c r="C96" t="s">
        <v>49</v>
      </c>
      <c r="D96" t="s">
        <v>19</v>
      </c>
      <c r="E96" t="s">
        <v>14</v>
      </c>
      <c r="F96" s="1">
        <v>45888</v>
      </c>
      <c r="H96">
        <v>37.200000000000003</v>
      </c>
      <c r="I96" t="b">
        <v>0</v>
      </c>
      <c r="K96" t="s">
        <v>18</v>
      </c>
    </row>
    <row r="97" spans="1:11" x14ac:dyDescent="0.25">
      <c r="A97">
        <v>96</v>
      </c>
      <c r="B97" t="s">
        <v>48</v>
      </c>
      <c r="C97" t="s">
        <v>49</v>
      </c>
      <c r="D97" t="s">
        <v>19</v>
      </c>
      <c r="E97" t="s">
        <v>14</v>
      </c>
      <c r="F97" s="1">
        <v>45884</v>
      </c>
      <c r="H97">
        <v>15.3</v>
      </c>
      <c r="I97" t="b">
        <v>0</v>
      </c>
      <c r="K97" t="s">
        <v>18</v>
      </c>
    </row>
    <row r="98" spans="1:11" x14ac:dyDescent="0.25">
      <c r="A98">
        <v>97</v>
      </c>
      <c r="B98" t="s">
        <v>48</v>
      </c>
      <c r="C98" t="s">
        <v>49</v>
      </c>
      <c r="D98" t="s">
        <v>24</v>
      </c>
      <c r="E98" t="s">
        <v>25</v>
      </c>
      <c r="F98" s="1">
        <v>46034</v>
      </c>
      <c r="G98" s="1">
        <v>46054</v>
      </c>
      <c r="H98">
        <v>6.6</v>
      </c>
      <c r="I98" t="b">
        <v>1</v>
      </c>
      <c r="J98">
        <v>62.2</v>
      </c>
      <c r="K98" t="s">
        <v>23</v>
      </c>
    </row>
    <row r="99" spans="1:11" x14ac:dyDescent="0.25">
      <c r="A99">
        <v>98</v>
      </c>
      <c r="B99" t="s">
        <v>48</v>
      </c>
      <c r="C99" t="s">
        <v>49</v>
      </c>
      <c r="D99" t="s">
        <v>47</v>
      </c>
      <c r="E99" t="s">
        <v>25</v>
      </c>
      <c r="F99" s="1">
        <v>45784</v>
      </c>
      <c r="G99" s="1">
        <v>45811</v>
      </c>
      <c r="H99">
        <v>15.3</v>
      </c>
      <c r="I99" t="b">
        <v>1</v>
      </c>
      <c r="J99">
        <v>60.6</v>
      </c>
      <c r="K99" t="s">
        <v>23</v>
      </c>
    </row>
    <row r="100" spans="1:11" x14ac:dyDescent="0.25">
      <c r="A100">
        <v>99</v>
      </c>
      <c r="B100" t="s">
        <v>50</v>
      </c>
      <c r="C100" t="s">
        <v>12</v>
      </c>
      <c r="D100" t="s">
        <v>39</v>
      </c>
      <c r="E100" t="s">
        <v>25</v>
      </c>
      <c r="F100" s="1">
        <v>45975</v>
      </c>
      <c r="G100" s="1">
        <v>46014</v>
      </c>
      <c r="H100">
        <v>9.5</v>
      </c>
      <c r="I100" t="b">
        <v>1</v>
      </c>
      <c r="J100">
        <v>64.8</v>
      </c>
      <c r="K100" t="s">
        <v>23</v>
      </c>
    </row>
    <row r="101" spans="1:11" x14ac:dyDescent="0.25">
      <c r="A101">
        <v>100</v>
      </c>
      <c r="B101" t="s">
        <v>50</v>
      </c>
      <c r="C101" t="s">
        <v>12</v>
      </c>
      <c r="D101" t="s">
        <v>27</v>
      </c>
      <c r="E101" t="s">
        <v>25</v>
      </c>
      <c r="F101" s="1">
        <v>45883</v>
      </c>
      <c r="H101">
        <v>31.8</v>
      </c>
      <c r="I101" t="b">
        <v>0</v>
      </c>
      <c r="J101">
        <v>49.9</v>
      </c>
      <c r="K101" t="s">
        <v>20</v>
      </c>
    </row>
    <row r="102" spans="1:11" x14ac:dyDescent="0.25">
      <c r="A102">
        <v>101</v>
      </c>
      <c r="B102" t="s">
        <v>50</v>
      </c>
      <c r="C102" t="s">
        <v>12</v>
      </c>
      <c r="D102" t="s">
        <v>32</v>
      </c>
      <c r="E102" t="s">
        <v>31</v>
      </c>
      <c r="F102" s="1">
        <v>45996</v>
      </c>
      <c r="H102">
        <v>4.4000000000000004</v>
      </c>
      <c r="I102" t="b">
        <v>0</v>
      </c>
      <c r="K102" t="s">
        <v>15</v>
      </c>
    </row>
    <row r="103" spans="1:11" x14ac:dyDescent="0.25">
      <c r="A103">
        <v>102</v>
      </c>
      <c r="B103" t="s">
        <v>50</v>
      </c>
      <c r="C103" t="s">
        <v>12</v>
      </c>
      <c r="D103" t="s">
        <v>33</v>
      </c>
      <c r="E103" t="s">
        <v>14</v>
      </c>
      <c r="F103" s="1">
        <v>45998</v>
      </c>
      <c r="G103" s="1">
        <v>46024</v>
      </c>
      <c r="H103">
        <v>10</v>
      </c>
      <c r="I103" t="b">
        <v>1</v>
      </c>
      <c r="J103">
        <v>99.6</v>
      </c>
      <c r="K103" t="s">
        <v>23</v>
      </c>
    </row>
    <row r="104" spans="1:11" x14ac:dyDescent="0.25">
      <c r="A104">
        <v>103</v>
      </c>
      <c r="B104" t="s">
        <v>50</v>
      </c>
      <c r="C104" t="s">
        <v>12</v>
      </c>
      <c r="D104" t="s">
        <v>16</v>
      </c>
      <c r="E104" t="s">
        <v>17</v>
      </c>
      <c r="F104" s="1">
        <v>45748</v>
      </c>
      <c r="H104">
        <v>9.1</v>
      </c>
      <c r="I104" t="b">
        <v>0</v>
      </c>
      <c r="J104">
        <v>41.4</v>
      </c>
      <c r="K104" t="s">
        <v>20</v>
      </c>
    </row>
    <row r="105" spans="1:11" x14ac:dyDescent="0.25">
      <c r="A105">
        <v>104</v>
      </c>
      <c r="B105" t="s">
        <v>50</v>
      </c>
      <c r="C105" t="s">
        <v>12</v>
      </c>
      <c r="D105" t="s">
        <v>29</v>
      </c>
      <c r="E105" t="s">
        <v>22</v>
      </c>
      <c r="F105" s="1">
        <v>46033</v>
      </c>
      <c r="G105" s="1">
        <v>46068</v>
      </c>
      <c r="H105">
        <v>20.9</v>
      </c>
      <c r="I105" t="b">
        <v>0</v>
      </c>
      <c r="J105">
        <v>67.2</v>
      </c>
      <c r="K105" t="s">
        <v>23</v>
      </c>
    </row>
    <row r="106" spans="1:11" x14ac:dyDescent="0.25">
      <c r="A106">
        <v>105</v>
      </c>
      <c r="B106" t="s">
        <v>50</v>
      </c>
      <c r="C106" t="s">
        <v>12</v>
      </c>
      <c r="D106" t="s">
        <v>38</v>
      </c>
      <c r="E106" t="s">
        <v>22</v>
      </c>
      <c r="F106" s="1">
        <v>46081</v>
      </c>
      <c r="G106" s="1">
        <v>46087</v>
      </c>
      <c r="H106">
        <v>14.5</v>
      </c>
      <c r="I106" t="b">
        <v>1</v>
      </c>
      <c r="J106">
        <v>83.5</v>
      </c>
      <c r="K106" t="s">
        <v>23</v>
      </c>
    </row>
    <row r="107" spans="1:11" x14ac:dyDescent="0.25">
      <c r="A107">
        <v>106</v>
      </c>
      <c r="B107" t="s">
        <v>50</v>
      </c>
      <c r="C107" t="s">
        <v>12</v>
      </c>
      <c r="D107" t="s">
        <v>34</v>
      </c>
      <c r="E107" t="s">
        <v>14</v>
      </c>
      <c r="F107" s="1">
        <v>45664</v>
      </c>
      <c r="G107" s="1">
        <v>45672</v>
      </c>
      <c r="H107">
        <v>34.4</v>
      </c>
      <c r="I107" t="b">
        <v>1</v>
      </c>
      <c r="J107">
        <v>86</v>
      </c>
      <c r="K107" t="s">
        <v>23</v>
      </c>
    </row>
    <row r="108" spans="1:11" x14ac:dyDescent="0.25">
      <c r="A108">
        <v>107</v>
      </c>
      <c r="B108" t="s">
        <v>50</v>
      </c>
      <c r="C108" t="s">
        <v>12</v>
      </c>
      <c r="D108" t="s">
        <v>24</v>
      </c>
      <c r="E108" t="s">
        <v>25</v>
      </c>
      <c r="F108" s="1">
        <v>46015</v>
      </c>
      <c r="G108" s="1">
        <v>46050</v>
      </c>
      <c r="H108">
        <v>17.2</v>
      </c>
      <c r="I108" t="b">
        <v>1</v>
      </c>
      <c r="J108">
        <v>73.5</v>
      </c>
      <c r="K108" t="s">
        <v>23</v>
      </c>
    </row>
    <row r="109" spans="1:11" x14ac:dyDescent="0.25">
      <c r="A109">
        <v>108</v>
      </c>
      <c r="B109" t="s">
        <v>50</v>
      </c>
      <c r="C109" t="s">
        <v>12</v>
      </c>
      <c r="D109" t="s">
        <v>26</v>
      </c>
      <c r="E109" t="s">
        <v>17</v>
      </c>
      <c r="F109" s="1">
        <v>45806</v>
      </c>
      <c r="H109">
        <v>34.700000000000003</v>
      </c>
      <c r="I109" t="b">
        <v>0</v>
      </c>
      <c r="K109" t="s">
        <v>18</v>
      </c>
    </row>
    <row r="110" spans="1:11" x14ac:dyDescent="0.25">
      <c r="A110">
        <v>109</v>
      </c>
      <c r="B110" t="s">
        <v>50</v>
      </c>
      <c r="C110" t="s">
        <v>12</v>
      </c>
      <c r="D110" t="s">
        <v>28</v>
      </c>
      <c r="E110" t="s">
        <v>22</v>
      </c>
      <c r="F110" s="1">
        <v>45851</v>
      </c>
      <c r="H110">
        <v>34.6</v>
      </c>
      <c r="I110" t="b">
        <v>0</v>
      </c>
      <c r="K110" t="s">
        <v>15</v>
      </c>
    </row>
    <row r="111" spans="1:11" x14ac:dyDescent="0.25">
      <c r="A111">
        <v>110</v>
      </c>
      <c r="B111" t="s">
        <v>50</v>
      </c>
      <c r="C111" t="s">
        <v>12</v>
      </c>
      <c r="D111" t="s">
        <v>21</v>
      </c>
      <c r="E111" t="s">
        <v>22</v>
      </c>
      <c r="F111" s="1">
        <v>45920</v>
      </c>
      <c r="G111" s="1">
        <v>45944</v>
      </c>
      <c r="H111">
        <v>7.8</v>
      </c>
      <c r="I111" t="b">
        <v>1</v>
      </c>
      <c r="J111">
        <v>96.7</v>
      </c>
      <c r="K111" t="s">
        <v>23</v>
      </c>
    </row>
    <row r="112" spans="1:11" x14ac:dyDescent="0.25">
      <c r="A112">
        <v>111</v>
      </c>
      <c r="B112" t="s">
        <v>50</v>
      </c>
      <c r="C112" t="s">
        <v>12</v>
      </c>
      <c r="D112" t="s">
        <v>13</v>
      </c>
      <c r="E112" t="s">
        <v>14</v>
      </c>
      <c r="F112" s="1">
        <v>45834</v>
      </c>
      <c r="G112" s="1">
        <v>45846</v>
      </c>
      <c r="H112">
        <v>10.9</v>
      </c>
      <c r="I112" t="b">
        <v>0</v>
      </c>
      <c r="J112">
        <v>97.1</v>
      </c>
      <c r="K112" t="s">
        <v>23</v>
      </c>
    </row>
    <row r="113" spans="1:11" x14ac:dyDescent="0.25">
      <c r="A113">
        <v>112</v>
      </c>
      <c r="B113" t="s">
        <v>50</v>
      </c>
      <c r="C113" t="s">
        <v>12</v>
      </c>
      <c r="D113" t="s">
        <v>34</v>
      </c>
      <c r="E113" t="s">
        <v>14</v>
      </c>
      <c r="F113" s="1">
        <v>45847</v>
      </c>
      <c r="H113">
        <v>4.3</v>
      </c>
      <c r="I113" t="b">
        <v>0</v>
      </c>
      <c r="K113" t="s">
        <v>15</v>
      </c>
    </row>
    <row r="114" spans="1:11" x14ac:dyDescent="0.25">
      <c r="A114">
        <v>113</v>
      </c>
      <c r="B114" t="s">
        <v>50</v>
      </c>
      <c r="C114" t="s">
        <v>12</v>
      </c>
      <c r="D114" t="s">
        <v>27</v>
      </c>
      <c r="E114" t="s">
        <v>25</v>
      </c>
      <c r="F114" s="1">
        <v>45734</v>
      </c>
      <c r="H114">
        <v>39.299999999999997</v>
      </c>
      <c r="I114" t="b">
        <v>0</v>
      </c>
      <c r="K114" t="s">
        <v>15</v>
      </c>
    </row>
    <row r="115" spans="1:11" x14ac:dyDescent="0.25">
      <c r="A115">
        <v>114</v>
      </c>
      <c r="B115" t="s">
        <v>50</v>
      </c>
      <c r="C115" t="s">
        <v>12</v>
      </c>
      <c r="D115" t="s">
        <v>16</v>
      </c>
      <c r="E115" t="s">
        <v>17</v>
      </c>
      <c r="F115" s="1">
        <v>46053</v>
      </c>
      <c r="H115">
        <v>36.5</v>
      </c>
      <c r="I115" t="b">
        <v>0</v>
      </c>
      <c r="K115" t="s">
        <v>18</v>
      </c>
    </row>
    <row r="116" spans="1:11" x14ac:dyDescent="0.25">
      <c r="A116">
        <v>115</v>
      </c>
      <c r="B116" t="s">
        <v>50</v>
      </c>
      <c r="C116" t="s">
        <v>12</v>
      </c>
      <c r="D116" t="s">
        <v>24</v>
      </c>
      <c r="E116" t="s">
        <v>25</v>
      </c>
      <c r="F116" s="1">
        <v>45786</v>
      </c>
      <c r="H116">
        <v>35.200000000000003</v>
      </c>
      <c r="I116" t="b">
        <v>0</v>
      </c>
      <c r="K116" t="s">
        <v>18</v>
      </c>
    </row>
    <row r="117" spans="1:11" x14ac:dyDescent="0.25">
      <c r="A117">
        <v>116</v>
      </c>
      <c r="B117" t="s">
        <v>50</v>
      </c>
      <c r="C117" t="s">
        <v>12</v>
      </c>
      <c r="D117" t="s">
        <v>30</v>
      </c>
      <c r="E117" t="s">
        <v>31</v>
      </c>
      <c r="F117" s="1">
        <v>45886</v>
      </c>
      <c r="G117" s="1">
        <v>45920</v>
      </c>
      <c r="H117">
        <v>23.9</v>
      </c>
      <c r="I117" t="b">
        <v>1</v>
      </c>
      <c r="J117">
        <v>98.8</v>
      </c>
      <c r="K117" t="s">
        <v>23</v>
      </c>
    </row>
    <row r="118" spans="1:11" x14ac:dyDescent="0.25">
      <c r="A118">
        <v>117</v>
      </c>
      <c r="B118" t="s">
        <v>50</v>
      </c>
      <c r="C118" t="s">
        <v>12</v>
      </c>
      <c r="D118" t="s">
        <v>40</v>
      </c>
      <c r="E118" t="s">
        <v>31</v>
      </c>
      <c r="F118" s="1">
        <v>45727</v>
      </c>
      <c r="H118">
        <v>31</v>
      </c>
      <c r="I118" t="b">
        <v>0</v>
      </c>
      <c r="K118" t="s">
        <v>15</v>
      </c>
    </row>
    <row r="119" spans="1:11" x14ac:dyDescent="0.25">
      <c r="A119">
        <v>118</v>
      </c>
      <c r="B119" t="s">
        <v>50</v>
      </c>
      <c r="C119" t="s">
        <v>12</v>
      </c>
      <c r="D119" t="s">
        <v>34</v>
      </c>
      <c r="E119" t="s">
        <v>14</v>
      </c>
      <c r="F119" s="1">
        <v>45660</v>
      </c>
      <c r="G119" s="1">
        <v>45669</v>
      </c>
      <c r="H119">
        <v>32</v>
      </c>
      <c r="I119" t="b">
        <v>1</v>
      </c>
      <c r="J119">
        <v>99.4</v>
      </c>
      <c r="K119" t="s">
        <v>23</v>
      </c>
    </row>
    <row r="120" spans="1:11" x14ac:dyDescent="0.25">
      <c r="A120">
        <v>119</v>
      </c>
      <c r="B120" t="s">
        <v>51</v>
      </c>
      <c r="C120" t="s">
        <v>36</v>
      </c>
      <c r="D120" t="s">
        <v>27</v>
      </c>
      <c r="E120" t="s">
        <v>25</v>
      </c>
      <c r="F120" s="1">
        <v>46098</v>
      </c>
      <c r="H120">
        <v>7.1</v>
      </c>
      <c r="I120" t="b">
        <v>0</v>
      </c>
      <c r="K120" t="s">
        <v>18</v>
      </c>
    </row>
    <row r="121" spans="1:11" x14ac:dyDescent="0.25">
      <c r="A121">
        <v>120</v>
      </c>
      <c r="B121" t="s">
        <v>51</v>
      </c>
      <c r="C121" t="s">
        <v>36</v>
      </c>
      <c r="D121" t="s">
        <v>47</v>
      </c>
      <c r="E121" t="s">
        <v>25</v>
      </c>
      <c r="F121" s="1">
        <v>45907</v>
      </c>
      <c r="H121">
        <v>33.6</v>
      </c>
      <c r="I121" t="b">
        <v>0</v>
      </c>
      <c r="J121">
        <v>40.799999999999997</v>
      </c>
      <c r="K121" t="s">
        <v>20</v>
      </c>
    </row>
    <row r="122" spans="1:11" x14ac:dyDescent="0.25">
      <c r="A122">
        <v>121</v>
      </c>
      <c r="B122" t="s">
        <v>51</v>
      </c>
      <c r="C122" t="s">
        <v>36</v>
      </c>
      <c r="D122" t="s">
        <v>26</v>
      </c>
      <c r="E122" t="s">
        <v>17</v>
      </c>
      <c r="F122" s="1">
        <v>45679</v>
      </c>
      <c r="H122">
        <v>29.7</v>
      </c>
      <c r="I122" t="b">
        <v>0</v>
      </c>
      <c r="K122" t="s">
        <v>15</v>
      </c>
    </row>
    <row r="123" spans="1:11" x14ac:dyDescent="0.25">
      <c r="A123">
        <v>122</v>
      </c>
      <c r="B123" t="s">
        <v>51</v>
      </c>
      <c r="C123" t="s">
        <v>36</v>
      </c>
      <c r="D123" t="s">
        <v>32</v>
      </c>
      <c r="E123" t="s">
        <v>31</v>
      </c>
      <c r="F123" s="1">
        <v>46006</v>
      </c>
      <c r="H123">
        <v>32.799999999999997</v>
      </c>
      <c r="I123" t="b">
        <v>0</v>
      </c>
      <c r="K123" t="s">
        <v>15</v>
      </c>
    </row>
    <row r="124" spans="1:11" x14ac:dyDescent="0.25">
      <c r="A124">
        <v>123</v>
      </c>
      <c r="B124" t="s">
        <v>51</v>
      </c>
      <c r="C124" t="s">
        <v>36</v>
      </c>
      <c r="D124" t="s">
        <v>43</v>
      </c>
      <c r="E124" t="s">
        <v>17</v>
      </c>
      <c r="F124" s="1">
        <v>45680</v>
      </c>
      <c r="H124">
        <v>34.9</v>
      </c>
      <c r="I124" t="b">
        <v>0</v>
      </c>
      <c r="K124" t="s">
        <v>15</v>
      </c>
    </row>
    <row r="125" spans="1:11" x14ac:dyDescent="0.25">
      <c r="A125">
        <v>124</v>
      </c>
      <c r="B125" t="s">
        <v>51</v>
      </c>
      <c r="C125" t="s">
        <v>36</v>
      </c>
      <c r="D125" t="s">
        <v>21</v>
      </c>
      <c r="E125" t="s">
        <v>22</v>
      </c>
      <c r="F125" s="1">
        <v>45660</v>
      </c>
      <c r="H125">
        <v>5.0999999999999996</v>
      </c>
      <c r="I125" t="b">
        <v>0</v>
      </c>
      <c r="K125" t="s">
        <v>15</v>
      </c>
    </row>
    <row r="126" spans="1:11" x14ac:dyDescent="0.25">
      <c r="A126">
        <v>125</v>
      </c>
      <c r="B126" t="s">
        <v>51</v>
      </c>
      <c r="C126" t="s">
        <v>36</v>
      </c>
      <c r="D126" t="s">
        <v>39</v>
      </c>
      <c r="E126" t="s">
        <v>25</v>
      </c>
      <c r="F126" s="1">
        <v>45838</v>
      </c>
      <c r="H126">
        <v>12.6</v>
      </c>
      <c r="I126" t="b">
        <v>0</v>
      </c>
      <c r="K126" t="s">
        <v>15</v>
      </c>
    </row>
    <row r="127" spans="1:11" x14ac:dyDescent="0.25">
      <c r="A127">
        <v>126</v>
      </c>
      <c r="B127" t="s">
        <v>51</v>
      </c>
      <c r="C127" t="s">
        <v>36</v>
      </c>
      <c r="D127" t="s">
        <v>43</v>
      </c>
      <c r="E127" t="s">
        <v>17</v>
      </c>
      <c r="F127" s="1">
        <v>46041</v>
      </c>
      <c r="H127">
        <v>14.8</v>
      </c>
      <c r="I127" t="b">
        <v>0</v>
      </c>
      <c r="K127" t="s">
        <v>18</v>
      </c>
    </row>
    <row r="128" spans="1:11" x14ac:dyDescent="0.25">
      <c r="A128">
        <v>127</v>
      </c>
      <c r="B128" t="s">
        <v>51</v>
      </c>
      <c r="C128" t="s">
        <v>36</v>
      </c>
      <c r="D128" t="s">
        <v>28</v>
      </c>
      <c r="E128" t="s">
        <v>22</v>
      </c>
      <c r="F128" s="1">
        <v>45923</v>
      </c>
      <c r="G128" s="1">
        <v>45945</v>
      </c>
      <c r="H128">
        <v>35.9</v>
      </c>
      <c r="I128" t="b">
        <v>0</v>
      </c>
      <c r="J128">
        <v>63.4</v>
      </c>
      <c r="K128" t="s">
        <v>23</v>
      </c>
    </row>
    <row r="129" spans="1:11" x14ac:dyDescent="0.25">
      <c r="A129">
        <v>128</v>
      </c>
      <c r="B129" t="s">
        <v>51</v>
      </c>
      <c r="C129" t="s">
        <v>36</v>
      </c>
      <c r="D129" t="s">
        <v>28</v>
      </c>
      <c r="E129" t="s">
        <v>22</v>
      </c>
      <c r="F129" s="1">
        <v>45811</v>
      </c>
      <c r="H129">
        <v>40</v>
      </c>
      <c r="I129" t="b">
        <v>0</v>
      </c>
      <c r="K129" t="s">
        <v>18</v>
      </c>
    </row>
    <row r="130" spans="1:11" x14ac:dyDescent="0.25">
      <c r="A130">
        <v>129</v>
      </c>
      <c r="B130" t="s">
        <v>51</v>
      </c>
      <c r="C130" t="s">
        <v>36</v>
      </c>
      <c r="D130" t="s">
        <v>13</v>
      </c>
      <c r="E130" t="s">
        <v>14</v>
      </c>
      <c r="F130" s="1">
        <v>45791</v>
      </c>
      <c r="G130" s="1">
        <v>45827</v>
      </c>
      <c r="H130">
        <v>24.7</v>
      </c>
      <c r="I130" t="b">
        <v>1</v>
      </c>
      <c r="J130">
        <v>88</v>
      </c>
      <c r="K130" t="s">
        <v>23</v>
      </c>
    </row>
    <row r="131" spans="1:11" x14ac:dyDescent="0.25">
      <c r="A131">
        <v>130</v>
      </c>
      <c r="B131" t="s">
        <v>51</v>
      </c>
      <c r="C131" t="s">
        <v>36</v>
      </c>
      <c r="D131" t="s">
        <v>24</v>
      </c>
      <c r="E131" t="s">
        <v>25</v>
      </c>
      <c r="F131" s="1">
        <v>45925</v>
      </c>
      <c r="H131">
        <v>21.9</v>
      </c>
      <c r="I131" t="b">
        <v>0</v>
      </c>
      <c r="J131">
        <v>40.6</v>
      </c>
      <c r="K131" t="s">
        <v>20</v>
      </c>
    </row>
    <row r="132" spans="1:11" x14ac:dyDescent="0.25">
      <c r="A132">
        <v>131</v>
      </c>
      <c r="B132" t="s">
        <v>51</v>
      </c>
      <c r="C132" t="s">
        <v>36</v>
      </c>
      <c r="D132" t="s">
        <v>29</v>
      </c>
      <c r="E132" t="s">
        <v>22</v>
      </c>
      <c r="F132" s="1">
        <v>45688</v>
      </c>
      <c r="G132" s="1">
        <v>45707</v>
      </c>
      <c r="H132">
        <v>20.3</v>
      </c>
      <c r="I132" t="b">
        <v>1</v>
      </c>
      <c r="J132">
        <v>73.7</v>
      </c>
      <c r="K132" t="s">
        <v>23</v>
      </c>
    </row>
    <row r="133" spans="1:11" x14ac:dyDescent="0.25">
      <c r="A133">
        <v>132</v>
      </c>
      <c r="B133" t="s">
        <v>51</v>
      </c>
      <c r="C133" t="s">
        <v>36</v>
      </c>
      <c r="D133" t="s">
        <v>21</v>
      </c>
      <c r="E133" t="s">
        <v>22</v>
      </c>
      <c r="F133" s="1">
        <v>45847</v>
      </c>
      <c r="H133">
        <v>23.5</v>
      </c>
      <c r="I133" t="b">
        <v>0</v>
      </c>
      <c r="K133" t="s">
        <v>18</v>
      </c>
    </row>
    <row r="134" spans="1:11" x14ac:dyDescent="0.25">
      <c r="A134">
        <v>133</v>
      </c>
      <c r="B134" t="s">
        <v>51</v>
      </c>
      <c r="C134" t="s">
        <v>36</v>
      </c>
      <c r="D134" t="s">
        <v>26</v>
      </c>
      <c r="E134" t="s">
        <v>17</v>
      </c>
      <c r="F134" s="1">
        <v>45786</v>
      </c>
      <c r="G134" s="1">
        <v>45804</v>
      </c>
      <c r="H134">
        <v>15.7</v>
      </c>
      <c r="I134" t="b">
        <v>1</v>
      </c>
      <c r="J134">
        <v>81.2</v>
      </c>
      <c r="K134" t="s">
        <v>23</v>
      </c>
    </row>
    <row r="135" spans="1:11" x14ac:dyDescent="0.25">
      <c r="A135">
        <v>134</v>
      </c>
      <c r="B135" t="s">
        <v>51</v>
      </c>
      <c r="C135" t="s">
        <v>36</v>
      </c>
      <c r="D135" t="s">
        <v>26</v>
      </c>
      <c r="E135" t="s">
        <v>17</v>
      </c>
      <c r="F135" s="1">
        <v>45992</v>
      </c>
      <c r="H135">
        <v>14.8</v>
      </c>
      <c r="I135" t="b">
        <v>0</v>
      </c>
      <c r="K135" t="s">
        <v>15</v>
      </c>
    </row>
    <row r="136" spans="1:11" x14ac:dyDescent="0.25">
      <c r="A136">
        <v>135</v>
      </c>
      <c r="B136" t="s">
        <v>51</v>
      </c>
      <c r="C136" t="s">
        <v>36</v>
      </c>
      <c r="D136" t="s">
        <v>39</v>
      </c>
      <c r="E136" t="s">
        <v>25</v>
      </c>
      <c r="F136" s="1">
        <v>45766</v>
      </c>
      <c r="G136" s="1">
        <v>45782</v>
      </c>
      <c r="H136">
        <v>35.5</v>
      </c>
      <c r="I136" t="b">
        <v>1</v>
      </c>
      <c r="J136">
        <v>82.5</v>
      </c>
      <c r="K136" t="s">
        <v>23</v>
      </c>
    </row>
    <row r="137" spans="1:11" x14ac:dyDescent="0.25">
      <c r="A137">
        <v>136</v>
      </c>
      <c r="B137" t="s">
        <v>51</v>
      </c>
      <c r="C137" t="s">
        <v>36</v>
      </c>
      <c r="D137" t="s">
        <v>21</v>
      </c>
      <c r="E137" t="s">
        <v>22</v>
      </c>
      <c r="F137" s="1">
        <v>46014</v>
      </c>
      <c r="G137" s="1">
        <v>46042</v>
      </c>
      <c r="H137">
        <v>21.1</v>
      </c>
      <c r="I137" t="b">
        <v>1</v>
      </c>
      <c r="J137">
        <v>87</v>
      </c>
      <c r="K137" t="s">
        <v>23</v>
      </c>
    </row>
    <row r="138" spans="1:11" x14ac:dyDescent="0.25">
      <c r="A138">
        <v>137</v>
      </c>
      <c r="B138" t="s">
        <v>51</v>
      </c>
      <c r="C138" t="s">
        <v>36</v>
      </c>
      <c r="D138" t="s">
        <v>34</v>
      </c>
      <c r="E138" t="s">
        <v>14</v>
      </c>
      <c r="F138" s="1">
        <v>46024</v>
      </c>
      <c r="H138">
        <v>10.7</v>
      </c>
      <c r="I138" t="b">
        <v>0</v>
      </c>
      <c r="K138" t="s">
        <v>18</v>
      </c>
    </row>
    <row r="139" spans="1:11" x14ac:dyDescent="0.25">
      <c r="A139">
        <v>138</v>
      </c>
      <c r="B139" t="s">
        <v>51</v>
      </c>
      <c r="C139" t="s">
        <v>36</v>
      </c>
      <c r="D139" t="s">
        <v>37</v>
      </c>
      <c r="E139" t="s">
        <v>17</v>
      </c>
      <c r="F139" s="1">
        <v>45910</v>
      </c>
      <c r="H139">
        <v>38.4</v>
      </c>
      <c r="I139" t="b">
        <v>0</v>
      </c>
      <c r="K139" t="s">
        <v>15</v>
      </c>
    </row>
    <row r="140" spans="1:11" x14ac:dyDescent="0.25">
      <c r="A140">
        <v>139</v>
      </c>
      <c r="B140" t="s">
        <v>51</v>
      </c>
      <c r="C140" t="s">
        <v>36</v>
      </c>
      <c r="D140" t="s">
        <v>40</v>
      </c>
      <c r="E140" t="s">
        <v>31</v>
      </c>
      <c r="F140" s="1">
        <v>45888</v>
      </c>
      <c r="G140" s="1">
        <v>45930</v>
      </c>
      <c r="H140">
        <v>38.6</v>
      </c>
      <c r="I140" t="b">
        <v>0</v>
      </c>
      <c r="J140">
        <v>61.6</v>
      </c>
      <c r="K140" t="s">
        <v>23</v>
      </c>
    </row>
    <row r="141" spans="1:11" x14ac:dyDescent="0.25">
      <c r="A141">
        <v>140</v>
      </c>
      <c r="B141" t="s">
        <v>51</v>
      </c>
      <c r="C141" t="s">
        <v>36</v>
      </c>
      <c r="D141" t="s">
        <v>47</v>
      </c>
      <c r="E141" t="s">
        <v>25</v>
      </c>
      <c r="F141" s="1">
        <v>45768</v>
      </c>
      <c r="G141" s="1">
        <v>45795</v>
      </c>
      <c r="H141">
        <v>22.6</v>
      </c>
      <c r="I141" t="b">
        <v>1</v>
      </c>
      <c r="J141">
        <v>62</v>
      </c>
      <c r="K141" t="s">
        <v>23</v>
      </c>
    </row>
    <row r="142" spans="1:11" x14ac:dyDescent="0.25">
      <c r="A142">
        <v>141</v>
      </c>
      <c r="B142" t="s">
        <v>51</v>
      </c>
      <c r="C142" t="s">
        <v>36</v>
      </c>
      <c r="D142" t="s">
        <v>40</v>
      </c>
      <c r="E142" t="s">
        <v>31</v>
      </c>
      <c r="F142" s="1">
        <v>45708</v>
      </c>
      <c r="G142" s="1">
        <v>45738</v>
      </c>
      <c r="H142">
        <v>29.1</v>
      </c>
      <c r="I142" t="b">
        <v>0</v>
      </c>
      <c r="J142">
        <v>72.099999999999994</v>
      </c>
      <c r="K142" t="s">
        <v>23</v>
      </c>
    </row>
    <row r="143" spans="1:11" x14ac:dyDescent="0.25">
      <c r="A143">
        <v>142</v>
      </c>
      <c r="B143" t="s">
        <v>52</v>
      </c>
      <c r="C143" t="s">
        <v>42</v>
      </c>
      <c r="D143" t="s">
        <v>27</v>
      </c>
      <c r="E143" t="s">
        <v>25</v>
      </c>
      <c r="F143" s="1">
        <v>45761</v>
      </c>
      <c r="G143" s="1">
        <v>45782</v>
      </c>
      <c r="H143">
        <v>8</v>
      </c>
      <c r="I143" t="b">
        <v>1</v>
      </c>
      <c r="J143">
        <v>60</v>
      </c>
      <c r="K143" t="s">
        <v>23</v>
      </c>
    </row>
    <row r="144" spans="1:11" x14ac:dyDescent="0.25">
      <c r="A144">
        <v>143</v>
      </c>
      <c r="B144" t="s">
        <v>52</v>
      </c>
      <c r="C144" t="s">
        <v>42</v>
      </c>
      <c r="D144" t="s">
        <v>32</v>
      </c>
      <c r="E144" t="s">
        <v>31</v>
      </c>
      <c r="F144" s="1">
        <v>45781</v>
      </c>
      <c r="G144" s="1">
        <v>45805</v>
      </c>
      <c r="H144">
        <v>19.5</v>
      </c>
      <c r="I144" t="b">
        <v>1</v>
      </c>
      <c r="J144">
        <v>93.6</v>
      </c>
      <c r="K144" t="s">
        <v>23</v>
      </c>
    </row>
    <row r="145" spans="1:11" x14ac:dyDescent="0.25">
      <c r="A145">
        <v>144</v>
      </c>
      <c r="B145" t="s">
        <v>52</v>
      </c>
      <c r="C145" t="s">
        <v>42</v>
      </c>
      <c r="D145" t="s">
        <v>27</v>
      </c>
      <c r="E145" t="s">
        <v>25</v>
      </c>
      <c r="F145" s="1">
        <v>45761</v>
      </c>
      <c r="G145" s="1">
        <v>45778</v>
      </c>
      <c r="H145">
        <v>21.3</v>
      </c>
      <c r="I145" t="b">
        <v>1</v>
      </c>
      <c r="J145">
        <v>69.099999999999994</v>
      </c>
      <c r="K145" t="s">
        <v>23</v>
      </c>
    </row>
    <row r="146" spans="1:11" x14ac:dyDescent="0.25">
      <c r="A146">
        <v>145</v>
      </c>
      <c r="B146" t="s">
        <v>52</v>
      </c>
      <c r="C146" t="s">
        <v>42</v>
      </c>
      <c r="D146" t="s">
        <v>34</v>
      </c>
      <c r="E146" t="s">
        <v>14</v>
      </c>
      <c r="F146" s="1">
        <v>45769</v>
      </c>
      <c r="G146" s="1">
        <v>45811</v>
      </c>
      <c r="H146">
        <v>20.6</v>
      </c>
      <c r="I146" t="b">
        <v>1</v>
      </c>
      <c r="J146">
        <v>66</v>
      </c>
      <c r="K146" t="s">
        <v>23</v>
      </c>
    </row>
    <row r="147" spans="1:11" x14ac:dyDescent="0.25">
      <c r="A147">
        <v>146</v>
      </c>
      <c r="B147" t="s">
        <v>52</v>
      </c>
      <c r="C147" t="s">
        <v>42</v>
      </c>
      <c r="D147" t="s">
        <v>33</v>
      </c>
      <c r="E147" t="s">
        <v>14</v>
      </c>
      <c r="F147" s="1">
        <v>45801</v>
      </c>
      <c r="H147">
        <v>4.3</v>
      </c>
      <c r="I147" t="b">
        <v>0</v>
      </c>
      <c r="J147">
        <v>30.9</v>
      </c>
      <c r="K147" t="s">
        <v>20</v>
      </c>
    </row>
    <row r="148" spans="1:11" x14ac:dyDescent="0.25">
      <c r="A148">
        <v>147</v>
      </c>
      <c r="B148" t="s">
        <v>52</v>
      </c>
      <c r="C148" t="s">
        <v>42</v>
      </c>
      <c r="D148" t="s">
        <v>30</v>
      </c>
      <c r="E148" t="s">
        <v>31</v>
      </c>
      <c r="F148" s="1">
        <v>45975</v>
      </c>
      <c r="G148" s="1">
        <v>46004</v>
      </c>
      <c r="H148">
        <v>24.5</v>
      </c>
      <c r="I148" t="b">
        <v>1</v>
      </c>
      <c r="J148">
        <v>94</v>
      </c>
      <c r="K148" t="s">
        <v>23</v>
      </c>
    </row>
    <row r="149" spans="1:11" x14ac:dyDescent="0.25">
      <c r="A149">
        <v>148</v>
      </c>
      <c r="B149" t="s">
        <v>52</v>
      </c>
      <c r="C149" t="s">
        <v>42</v>
      </c>
      <c r="D149" t="s">
        <v>47</v>
      </c>
      <c r="E149" t="s">
        <v>25</v>
      </c>
      <c r="F149" s="1">
        <v>45784</v>
      </c>
      <c r="H149">
        <v>9.9</v>
      </c>
      <c r="I149" t="b">
        <v>0</v>
      </c>
      <c r="K149" t="s">
        <v>15</v>
      </c>
    </row>
    <row r="150" spans="1:11" x14ac:dyDescent="0.25">
      <c r="A150">
        <v>149</v>
      </c>
      <c r="B150" t="s">
        <v>52</v>
      </c>
      <c r="C150" t="s">
        <v>42</v>
      </c>
      <c r="D150" t="s">
        <v>26</v>
      </c>
      <c r="E150" t="s">
        <v>17</v>
      </c>
      <c r="F150" s="1">
        <v>46105</v>
      </c>
      <c r="G150" s="1">
        <v>46144</v>
      </c>
      <c r="H150">
        <v>37.1</v>
      </c>
      <c r="I150" t="b">
        <v>1</v>
      </c>
      <c r="J150">
        <v>84.1</v>
      </c>
      <c r="K150" t="s">
        <v>23</v>
      </c>
    </row>
    <row r="151" spans="1:11" x14ac:dyDescent="0.25">
      <c r="A151">
        <v>150</v>
      </c>
      <c r="B151" t="s">
        <v>52</v>
      </c>
      <c r="C151" t="s">
        <v>42</v>
      </c>
      <c r="D151" t="s">
        <v>26</v>
      </c>
      <c r="E151" t="s">
        <v>17</v>
      </c>
      <c r="F151" s="1">
        <v>45693</v>
      </c>
      <c r="H151">
        <v>15.5</v>
      </c>
      <c r="I151" t="b">
        <v>0</v>
      </c>
      <c r="K151" t="s">
        <v>18</v>
      </c>
    </row>
    <row r="152" spans="1:11" x14ac:dyDescent="0.25">
      <c r="A152">
        <v>151</v>
      </c>
      <c r="B152" t="s">
        <v>52</v>
      </c>
      <c r="C152" t="s">
        <v>42</v>
      </c>
      <c r="D152" t="s">
        <v>39</v>
      </c>
      <c r="E152" t="s">
        <v>25</v>
      </c>
      <c r="F152" s="1">
        <v>45708</v>
      </c>
      <c r="G152" s="1">
        <v>45737</v>
      </c>
      <c r="H152">
        <v>18.899999999999999</v>
      </c>
      <c r="I152" t="b">
        <v>1</v>
      </c>
      <c r="J152">
        <v>63.1</v>
      </c>
      <c r="K152" t="s">
        <v>23</v>
      </c>
    </row>
    <row r="153" spans="1:11" x14ac:dyDescent="0.25">
      <c r="A153">
        <v>152</v>
      </c>
      <c r="B153" t="s">
        <v>52</v>
      </c>
      <c r="C153" t="s">
        <v>42</v>
      </c>
      <c r="D153" t="s">
        <v>37</v>
      </c>
      <c r="E153" t="s">
        <v>17</v>
      </c>
      <c r="F153" s="1">
        <v>45989</v>
      </c>
      <c r="G153" s="1">
        <v>46007</v>
      </c>
      <c r="H153">
        <v>10</v>
      </c>
      <c r="I153" t="b">
        <v>1</v>
      </c>
      <c r="J153">
        <v>88.3</v>
      </c>
      <c r="K153" t="s">
        <v>23</v>
      </c>
    </row>
    <row r="154" spans="1:11" x14ac:dyDescent="0.25">
      <c r="A154">
        <v>153</v>
      </c>
      <c r="B154" t="s">
        <v>52</v>
      </c>
      <c r="C154" t="s">
        <v>42</v>
      </c>
      <c r="D154" t="s">
        <v>28</v>
      </c>
      <c r="E154" t="s">
        <v>22</v>
      </c>
      <c r="F154" s="1">
        <v>46029</v>
      </c>
      <c r="H154">
        <v>25.4</v>
      </c>
      <c r="I154" t="b">
        <v>0</v>
      </c>
      <c r="K154" t="s">
        <v>18</v>
      </c>
    </row>
    <row r="155" spans="1:11" x14ac:dyDescent="0.25">
      <c r="A155">
        <v>154</v>
      </c>
      <c r="B155" t="s">
        <v>52</v>
      </c>
      <c r="C155" t="s">
        <v>42</v>
      </c>
      <c r="D155" t="s">
        <v>29</v>
      </c>
      <c r="E155" t="s">
        <v>22</v>
      </c>
      <c r="F155" s="1">
        <v>46007</v>
      </c>
      <c r="H155">
        <v>10.199999999999999</v>
      </c>
      <c r="I155" t="b">
        <v>0</v>
      </c>
      <c r="K155" t="s">
        <v>15</v>
      </c>
    </row>
    <row r="156" spans="1:11" x14ac:dyDescent="0.25">
      <c r="A156">
        <v>155</v>
      </c>
      <c r="B156" t="s">
        <v>52</v>
      </c>
      <c r="C156" t="s">
        <v>42</v>
      </c>
      <c r="D156" t="s">
        <v>13</v>
      </c>
      <c r="E156" t="s">
        <v>14</v>
      </c>
      <c r="F156" s="1">
        <v>45712</v>
      </c>
      <c r="G156" s="1">
        <v>45756</v>
      </c>
      <c r="H156">
        <v>4.5999999999999996</v>
      </c>
      <c r="I156" t="b">
        <v>1</v>
      </c>
      <c r="J156">
        <v>83.4</v>
      </c>
      <c r="K156" t="s">
        <v>23</v>
      </c>
    </row>
    <row r="157" spans="1:11" x14ac:dyDescent="0.25">
      <c r="A157">
        <v>156</v>
      </c>
      <c r="B157" t="s">
        <v>52</v>
      </c>
      <c r="C157" t="s">
        <v>42</v>
      </c>
      <c r="D157" t="s">
        <v>29</v>
      </c>
      <c r="E157" t="s">
        <v>22</v>
      </c>
      <c r="F157" s="1">
        <v>45915</v>
      </c>
      <c r="H157">
        <v>23.3</v>
      </c>
      <c r="I157" t="b">
        <v>0</v>
      </c>
      <c r="K157" t="s">
        <v>18</v>
      </c>
    </row>
    <row r="158" spans="1:11" x14ac:dyDescent="0.25">
      <c r="A158">
        <v>157</v>
      </c>
      <c r="B158" t="s">
        <v>52</v>
      </c>
      <c r="C158" t="s">
        <v>42</v>
      </c>
      <c r="D158" t="s">
        <v>32</v>
      </c>
      <c r="E158" t="s">
        <v>31</v>
      </c>
      <c r="F158" s="1">
        <v>45740</v>
      </c>
      <c r="G158" s="1">
        <v>45755</v>
      </c>
      <c r="H158">
        <v>25.4</v>
      </c>
      <c r="I158" t="b">
        <v>1</v>
      </c>
      <c r="J158">
        <v>86.5</v>
      </c>
      <c r="K158" t="s">
        <v>23</v>
      </c>
    </row>
    <row r="159" spans="1:11" x14ac:dyDescent="0.25">
      <c r="A159">
        <v>158</v>
      </c>
      <c r="B159" t="s">
        <v>52</v>
      </c>
      <c r="C159" t="s">
        <v>42</v>
      </c>
      <c r="D159" t="s">
        <v>26</v>
      </c>
      <c r="E159" t="s">
        <v>17</v>
      </c>
      <c r="F159" s="1">
        <v>45743</v>
      </c>
      <c r="H159">
        <v>12.3</v>
      </c>
      <c r="I159" t="b">
        <v>0</v>
      </c>
      <c r="K159" t="s">
        <v>15</v>
      </c>
    </row>
    <row r="160" spans="1:11" x14ac:dyDescent="0.25">
      <c r="A160">
        <v>159</v>
      </c>
      <c r="B160" t="s">
        <v>52</v>
      </c>
      <c r="C160" t="s">
        <v>42</v>
      </c>
      <c r="D160" t="s">
        <v>26</v>
      </c>
      <c r="E160" t="s">
        <v>17</v>
      </c>
      <c r="F160" s="1">
        <v>46035</v>
      </c>
      <c r="H160">
        <v>23.9</v>
      </c>
      <c r="I160" t="b">
        <v>0</v>
      </c>
      <c r="K160" t="s">
        <v>15</v>
      </c>
    </row>
    <row r="161" spans="1:11" x14ac:dyDescent="0.25">
      <c r="A161">
        <v>160</v>
      </c>
      <c r="B161" t="s">
        <v>52</v>
      </c>
      <c r="C161" t="s">
        <v>42</v>
      </c>
      <c r="D161" t="s">
        <v>27</v>
      </c>
      <c r="E161" t="s">
        <v>25</v>
      </c>
      <c r="F161" s="1">
        <v>45996</v>
      </c>
      <c r="H161">
        <v>24.4</v>
      </c>
      <c r="I161" t="b">
        <v>0</v>
      </c>
      <c r="K161" t="s">
        <v>15</v>
      </c>
    </row>
    <row r="162" spans="1:11" x14ac:dyDescent="0.25">
      <c r="A162">
        <v>161</v>
      </c>
      <c r="B162" t="s">
        <v>52</v>
      </c>
      <c r="C162" t="s">
        <v>42</v>
      </c>
      <c r="D162" t="s">
        <v>38</v>
      </c>
      <c r="E162" t="s">
        <v>22</v>
      </c>
      <c r="F162" s="1">
        <v>45980</v>
      </c>
      <c r="G162" s="1">
        <v>46024</v>
      </c>
      <c r="H162">
        <v>22.5</v>
      </c>
      <c r="I162" t="b">
        <v>0</v>
      </c>
      <c r="J162">
        <v>91.8</v>
      </c>
      <c r="K162" t="s">
        <v>23</v>
      </c>
    </row>
    <row r="163" spans="1:11" x14ac:dyDescent="0.25">
      <c r="A163">
        <v>162</v>
      </c>
      <c r="B163" t="s">
        <v>53</v>
      </c>
      <c r="C163" t="s">
        <v>46</v>
      </c>
      <c r="D163" t="s">
        <v>27</v>
      </c>
      <c r="E163" t="s">
        <v>25</v>
      </c>
      <c r="F163" s="1">
        <v>45841</v>
      </c>
      <c r="H163">
        <v>18.2</v>
      </c>
      <c r="I163" t="b">
        <v>0</v>
      </c>
      <c r="K163" t="s">
        <v>18</v>
      </c>
    </row>
    <row r="164" spans="1:11" x14ac:dyDescent="0.25">
      <c r="A164">
        <v>163</v>
      </c>
      <c r="B164" t="s">
        <v>53</v>
      </c>
      <c r="C164" t="s">
        <v>46</v>
      </c>
      <c r="D164" t="s">
        <v>30</v>
      </c>
      <c r="E164" t="s">
        <v>31</v>
      </c>
      <c r="F164" s="1">
        <v>45965</v>
      </c>
      <c r="H164">
        <v>10.4</v>
      </c>
      <c r="I164" t="b">
        <v>0</v>
      </c>
      <c r="J164">
        <v>54.9</v>
      </c>
      <c r="K164" t="s">
        <v>20</v>
      </c>
    </row>
    <row r="165" spans="1:11" x14ac:dyDescent="0.25">
      <c r="A165">
        <v>164</v>
      </c>
      <c r="B165" t="s">
        <v>53</v>
      </c>
      <c r="C165" t="s">
        <v>46</v>
      </c>
      <c r="D165" t="s">
        <v>40</v>
      </c>
      <c r="E165" t="s">
        <v>31</v>
      </c>
      <c r="F165" s="1">
        <v>46068</v>
      </c>
      <c r="G165" s="1">
        <v>46082</v>
      </c>
      <c r="H165">
        <v>30.4</v>
      </c>
      <c r="I165" t="b">
        <v>1</v>
      </c>
      <c r="J165">
        <v>75.2</v>
      </c>
      <c r="K165" t="s">
        <v>23</v>
      </c>
    </row>
    <row r="166" spans="1:11" x14ac:dyDescent="0.25">
      <c r="A166">
        <v>165</v>
      </c>
      <c r="B166" t="s">
        <v>53</v>
      </c>
      <c r="C166" t="s">
        <v>46</v>
      </c>
      <c r="D166" t="s">
        <v>21</v>
      </c>
      <c r="E166" t="s">
        <v>22</v>
      </c>
      <c r="F166" s="1">
        <v>45890</v>
      </c>
      <c r="H166">
        <v>32.200000000000003</v>
      </c>
      <c r="I166" t="b">
        <v>0</v>
      </c>
      <c r="K166" t="s">
        <v>15</v>
      </c>
    </row>
    <row r="167" spans="1:11" x14ac:dyDescent="0.25">
      <c r="A167">
        <v>166</v>
      </c>
      <c r="B167" t="s">
        <v>53</v>
      </c>
      <c r="C167" t="s">
        <v>46</v>
      </c>
      <c r="D167" t="s">
        <v>19</v>
      </c>
      <c r="E167" t="s">
        <v>14</v>
      </c>
      <c r="F167" s="1">
        <v>45914</v>
      </c>
      <c r="H167">
        <v>35.200000000000003</v>
      </c>
      <c r="I167" t="b">
        <v>0</v>
      </c>
      <c r="J167">
        <v>32.9</v>
      </c>
      <c r="K167" t="s">
        <v>20</v>
      </c>
    </row>
    <row r="168" spans="1:11" x14ac:dyDescent="0.25">
      <c r="A168">
        <v>167</v>
      </c>
      <c r="B168" t="s">
        <v>53</v>
      </c>
      <c r="C168" t="s">
        <v>46</v>
      </c>
      <c r="D168" t="s">
        <v>30</v>
      </c>
      <c r="E168" t="s">
        <v>31</v>
      </c>
      <c r="F168" s="1">
        <v>45749</v>
      </c>
      <c r="G168" s="1">
        <v>45771</v>
      </c>
      <c r="H168">
        <v>39.299999999999997</v>
      </c>
      <c r="I168" t="b">
        <v>1</v>
      </c>
      <c r="J168">
        <v>88.8</v>
      </c>
      <c r="K168" t="s">
        <v>23</v>
      </c>
    </row>
    <row r="169" spans="1:11" x14ac:dyDescent="0.25">
      <c r="A169">
        <v>168</v>
      </c>
      <c r="B169" t="s">
        <v>53</v>
      </c>
      <c r="C169" t="s">
        <v>46</v>
      </c>
      <c r="D169" t="s">
        <v>19</v>
      </c>
      <c r="E169" t="s">
        <v>14</v>
      </c>
      <c r="F169" s="1">
        <v>46057</v>
      </c>
      <c r="G169" s="1">
        <v>46087</v>
      </c>
      <c r="H169">
        <v>25.9</v>
      </c>
      <c r="I169" t="b">
        <v>1</v>
      </c>
      <c r="J169">
        <v>76.400000000000006</v>
      </c>
      <c r="K169" t="s">
        <v>23</v>
      </c>
    </row>
    <row r="170" spans="1:11" x14ac:dyDescent="0.25">
      <c r="A170">
        <v>169</v>
      </c>
      <c r="B170" t="s">
        <v>53</v>
      </c>
      <c r="C170" t="s">
        <v>46</v>
      </c>
      <c r="D170" t="s">
        <v>29</v>
      </c>
      <c r="E170" t="s">
        <v>22</v>
      </c>
      <c r="F170" s="1">
        <v>45928</v>
      </c>
      <c r="G170" s="1">
        <v>45956</v>
      </c>
      <c r="H170">
        <v>11.1</v>
      </c>
      <c r="I170" t="b">
        <v>1</v>
      </c>
      <c r="J170">
        <v>75.8</v>
      </c>
      <c r="K170" t="s">
        <v>23</v>
      </c>
    </row>
    <row r="171" spans="1:11" x14ac:dyDescent="0.25">
      <c r="A171">
        <v>170</v>
      </c>
      <c r="B171" t="s">
        <v>53</v>
      </c>
      <c r="C171" t="s">
        <v>46</v>
      </c>
      <c r="D171" t="s">
        <v>26</v>
      </c>
      <c r="E171" t="s">
        <v>17</v>
      </c>
      <c r="F171" s="1">
        <v>45716</v>
      </c>
      <c r="H171">
        <v>16.2</v>
      </c>
      <c r="I171" t="b">
        <v>0</v>
      </c>
      <c r="K171" t="s">
        <v>15</v>
      </c>
    </row>
    <row r="172" spans="1:11" x14ac:dyDescent="0.25">
      <c r="A172">
        <v>171</v>
      </c>
      <c r="B172" t="s">
        <v>53</v>
      </c>
      <c r="C172" t="s">
        <v>46</v>
      </c>
      <c r="D172" t="s">
        <v>30</v>
      </c>
      <c r="E172" t="s">
        <v>31</v>
      </c>
      <c r="F172" s="1">
        <v>46087</v>
      </c>
      <c r="G172" s="1">
        <v>46121</v>
      </c>
      <c r="H172">
        <v>31.1</v>
      </c>
      <c r="I172" t="b">
        <v>1</v>
      </c>
      <c r="J172">
        <v>71.099999999999994</v>
      </c>
      <c r="K172" t="s">
        <v>23</v>
      </c>
    </row>
    <row r="173" spans="1:11" x14ac:dyDescent="0.25">
      <c r="A173">
        <v>172</v>
      </c>
      <c r="B173" t="s">
        <v>53</v>
      </c>
      <c r="C173" t="s">
        <v>46</v>
      </c>
      <c r="D173" t="s">
        <v>21</v>
      </c>
      <c r="E173" t="s">
        <v>22</v>
      </c>
      <c r="F173" s="1">
        <v>45748</v>
      </c>
      <c r="G173" s="1">
        <v>45792</v>
      </c>
      <c r="H173">
        <v>20.9</v>
      </c>
      <c r="I173" t="b">
        <v>1</v>
      </c>
      <c r="J173">
        <v>61.8</v>
      </c>
      <c r="K173" t="s">
        <v>23</v>
      </c>
    </row>
    <row r="174" spans="1:11" x14ac:dyDescent="0.25">
      <c r="A174">
        <v>173</v>
      </c>
      <c r="B174" t="s">
        <v>53</v>
      </c>
      <c r="C174" t="s">
        <v>46</v>
      </c>
      <c r="D174" t="s">
        <v>30</v>
      </c>
      <c r="E174" t="s">
        <v>31</v>
      </c>
      <c r="F174" s="1">
        <v>45874</v>
      </c>
      <c r="H174">
        <v>21.8</v>
      </c>
      <c r="I174" t="b">
        <v>0</v>
      </c>
      <c r="K174" t="s">
        <v>15</v>
      </c>
    </row>
    <row r="175" spans="1:11" x14ac:dyDescent="0.25">
      <c r="A175">
        <v>174</v>
      </c>
      <c r="B175" t="s">
        <v>53</v>
      </c>
      <c r="C175" t="s">
        <v>46</v>
      </c>
      <c r="D175" t="s">
        <v>26</v>
      </c>
      <c r="E175" t="s">
        <v>17</v>
      </c>
      <c r="F175" s="1">
        <v>45707</v>
      </c>
      <c r="G175" s="1">
        <v>45721</v>
      </c>
      <c r="H175">
        <v>31.5</v>
      </c>
      <c r="I175" t="b">
        <v>1</v>
      </c>
      <c r="J175">
        <v>96.1</v>
      </c>
      <c r="K175" t="s">
        <v>23</v>
      </c>
    </row>
    <row r="176" spans="1:11" x14ac:dyDescent="0.25">
      <c r="A176">
        <v>175</v>
      </c>
      <c r="B176" t="s">
        <v>53</v>
      </c>
      <c r="C176" t="s">
        <v>46</v>
      </c>
      <c r="D176" t="s">
        <v>29</v>
      </c>
      <c r="E176" t="s">
        <v>22</v>
      </c>
      <c r="F176" s="1">
        <v>46101</v>
      </c>
      <c r="H176">
        <v>6.6</v>
      </c>
      <c r="I176" t="b">
        <v>0</v>
      </c>
      <c r="J176">
        <v>38.799999999999997</v>
      </c>
      <c r="K176" t="s">
        <v>20</v>
      </c>
    </row>
    <row r="177" spans="1:11" x14ac:dyDescent="0.25">
      <c r="A177">
        <v>176</v>
      </c>
      <c r="B177" t="s">
        <v>53</v>
      </c>
      <c r="C177" t="s">
        <v>46</v>
      </c>
      <c r="D177" t="s">
        <v>37</v>
      </c>
      <c r="E177" t="s">
        <v>17</v>
      </c>
      <c r="F177" s="1">
        <v>45906</v>
      </c>
      <c r="H177">
        <v>26.2</v>
      </c>
      <c r="I177" t="b">
        <v>0</v>
      </c>
      <c r="K177" t="s">
        <v>18</v>
      </c>
    </row>
    <row r="178" spans="1:11" x14ac:dyDescent="0.25">
      <c r="A178">
        <v>177</v>
      </c>
      <c r="B178" t="s">
        <v>53</v>
      </c>
      <c r="C178" t="s">
        <v>46</v>
      </c>
      <c r="D178" t="s">
        <v>44</v>
      </c>
      <c r="E178" t="s">
        <v>31</v>
      </c>
      <c r="F178" s="1">
        <v>45902</v>
      </c>
      <c r="G178" s="1">
        <v>45927</v>
      </c>
      <c r="H178">
        <v>9.8000000000000007</v>
      </c>
      <c r="I178" t="b">
        <v>1</v>
      </c>
      <c r="J178">
        <v>83.4</v>
      </c>
      <c r="K178" t="s">
        <v>23</v>
      </c>
    </row>
    <row r="179" spans="1:11" x14ac:dyDescent="0.25">
      <c r="A179">
        <v>178</v>
      </c>
      <c r="B179" t="s">
        <v>53</v>
      </c>
      <c r="C179" t="s">
        <v>46</v>
      </c>
      <c r="D179" t="s">
        <v>32</v>
      </c>
      <c r="E179" t="s">
        <v>31</v>
      </c>
      <c r="F179" s="1">
        <v>45988</v>
      </c>
      <c r="G179" s="1">
        <v>46022</v>
      </c>
      <c r="H179">
        <v>18.600000000000001</v>
      </c>
      <c r="I179" t="b">
        <v>1</v>
      </c>
      <c r="J179">
        <v>90.9</v>
      </c>
      <c r="K179" t="s">
        <v>23</v>
      </c>
    </row>
    <row r="180" spans="1:11" x14ac:dyDescent="0.25">
      <c r="A180">
        <v>179</v>
      </c>
      <c r="B180" t="s">
        <v>53</v>
      </c>
      <c r="C180" t="s">
        <v>46</v>
      </c>
      <c r="D180" t="s">
        <v>29</v>
      </c>
      <c r="E180" t="s">
        <v>22</v>
      </c>
      <c r="F180" s="1">
        <v>45751</v>
      </c>
      <c r="G180" s="1">
        <v>45780</v>
      </c>
      <c r="H180">
        <v>36.299999999999997</v>
      </c>
      <c r="I180" t="b">
        <v>0</v>
      </c>
      <c r="J180">
        <v>70.599999999999994</v>
      </c>
      <c r="K180" t="s">
        <v>23</v>
      </c>
    </row>
    <row r="181" spans="1:11" x14ac:dyDescent="0.25">
      <c r="A181">
        <v>180</v>
      </c>
      <c r="B181" t="s">
        <v>53</v>
      </c>
      <c r="C181" t="s">
        <v>46</v>
      </c>
      <c r="D181" t="s">
        <v>37</v>
      </c>
      <c r="E181" t="s">
        <v>17</v>
      </c>
      <c r="F181" s="1">
        <v>46038</v>
      </c>
      <c r="G181" s="1">
        <v>46067</v>
      </c>
      <c r="H181">
        <v>20.2</v>
      </c>
      <c r="I181" t="b">
        <v>0</v>
      </c>
      <c r="J181">
        <v>88.4</v>
      </c>
      <c r="K181" t="s">
        <v>23</v>
      </c>
    </row>
    <row r="182" spans="1:11" x14ac:dyDescent="0.25">
      <c r="A182">
        <v>181</v>
      </c>
      <c r="B182" t="s">
        <v>53</v>
      </c>
      <c r="C182" t="s">
        <v>46</v>
      </c>
      <c r="D182" t="s">
        <v>30</v>
      </c>
      <c r="E182" t="s">
        <v>31</v>
      </c>
      <c r="F182" s="1">
        <v>46041</v>
      </c>
      <c r="G182" s="1">
        <v>46068</v>
      </c>
      <c r="H182">
        <v>23.1</v>
      </c>
      <c r="I182" t="b">
        <v>0</v>
      </c>
      <c r="J182">
        <v>69.8</v>
      </c>
      <c r="K182" t="s">
        <v>23</v>
      </c>
    </row>
    <row r="183" spans="1:11" x14ac:dyDescent="0.25">
      <c r="A183">
        <v>182</v>
      </c>
      <c r="B183" t="s">
        <v>54</v>
      </c>
      <c r="C183" t="s">
        <v>49</v>
      </c>
      <c r="D183" t="s">
        <v>29</v>
      </c>
      <c r="E183" t="s">
        <v>22</v>
      </c>
      <c r="F183" s="1">
        <v>45674</v>
      </c>
      <c r="H183">
        <v>32</v>
      </c>
      <c r="I183" t="b">
        <v>0</v>
      </c>
      <c r="K183" t="s">
        <v>18</v>
      </c>
    </row>
    <row r="184" spans="1:11" x14ac:dyDescent="0.25">
      <c r="A184">
        <v>183</v>
      </c>
      <c r="B184" t="s">
        <v>54</v>
      </c>
      <c r="C184" t="s">
        <v>49</v>
      </c>
      <c r="D184" t="s">
        <v>28</v>
      </c>
      <c r="E184" t="s">
        <v>22</v>
      </c>
      <c r="F184" s="1">
        <v>45784</v>
      </c>
      <c r="G184" s="1">
        <v>45808</v>
      </c>
      <c r="H184">
        <v>23.3</v>
      </c>
      <c r="I184" t="b">
        <v>1</v>
      </c>
      <c r="J184">
        <v>65.3</v>
      </c>
      <c r="K184" t="s">
        <v>23</v>
      </c>
    </row>
    <row r="185" spans="1:11" x14ac:dyDescent="0.25">
      <c r="A185">
        <v>184</v>
      </c>
      <c r="B185" t="s">
        <v>54</v>
      </c>
      <c r="C185" t="s">
        <v>49</v>
      </c>
      <c r="D185" t="s">
        <v>29</v>
      </c>
      <c r="E185" t="s">
        <v>22</v>
      </c>
      <c r="F185" s="1">
        <v>45740</v>
      </c>
      <c r="G185" s="1">
        <v>45783</v>
      </c>
      <c r="H185">
        <v>38.299999999999997</v>
      </c>
      <c r="I185" t="b">
        <v>0</v>
      </c>
      <c r="J185">
        <v>82.2</v>
      </c>
      <c r="K185" t="s">
        <v>23</v>
      </c>
    </row>
    <row r="186" spans="1:11" x14ac:dyDescent="0.25">
      <c r="A186">
        <v>185</v>
      </c>
      <c r="B186" t="s">
        <v>54</v>
      </c>
      <c r="C186" t="s">
        <v>49</v>
      </c>
      <c r="D186" t="s">
        <v>37</v>
      </c>
      <c r="E186" t="s">
        <v>17</v>
      </c>
      <c r="F186" s="1">
        <v>45731</v>
      </c>
      <c r="G186" s="1">
        <v>45746</v>
      </c>
      <c r="H186">
        <v>8.3000000000000007</v>
      </c>
      <c r="I186" t="b">
        <v>1</v>
      </c>
      <c r="J186">
        <v>72.900000000000006</v>
      </c>
      <c r="K186" t="s">
        <v>23</v>
      </c>
    </row>
    <row r="187" spans="1:11" x14ac:dyDescent="0.25">
      <c r="A187">
        <v>186</v>
      </c>
      <c r="B187" t="s">
        <v>54</v>
      </c>
      <c r="C187" t="s">
        <v>49</v>
      </c>
      <c r="D187" t="s">
        <v>16</v>
      </c>
      <c r="E187" t="s">
        <v>17</v>
      </c>
      <c r="F187" s="1">
        <v>45690</v>
      </c>
      <c r="G187" s="1">
        <v>45713</v>
      </c>
      <c r="H187">
        <v>23.1</v>
      </c>
      <c r="I187" t="b">
        <v>0</v>
      </c>
      <c r="J187">
        <v>99.5</v>
      </c>
      <c r="K187" t="s">
        <v>23</v>
      </c>
    </row>
    <row r="188" spans="1:11" x14ac:dyDescent="0.25">
      <c r="A188">
        <v>187</v>
      </c>
      <c r="B188" t="s">
        <v>54</v>
      </c>
      <c r="C188" t="s">
        <v>49</v>
      </c>
      <c r="D188" t="s">
        <v>40</v>
      </c>
      <c r="E188" t="s">
        <v>31</v>
      </c>
      <c r="F188" s="1">
        <v>46025</v>
      </c>
      <c r="G188" s="1">
        <v>46059</v>
      </c>
      <c r="H188">
        <v>9.5</v>
      </c>
      <c r="I188" t="b">
        <v>1</v>
      </c>
      <c r="J188">
        <v>73.7</v>
      </c>
      <c r="K188" t="s">
        <v>23</v>
      </c>
    </row>
    <row r="189" spans="1:11" x14ac:dyDescent="0.25">
      <c r="A189">
        <v>188</v>
      </c>
      <c r="B189" t="s">
        <v>54</v>
      </c>
      <c r="C189" t="s">
        <v>49</v>
      </c>
      <c r="D189" t="s">
        <v>47</v>
      </c>
      <c r="E189" t="s">
        <v>25</v>
      </c>
      <c r="F189" s="1">
        <v>46077</v>
      </c>
      <c r="H189">
        <v>26.4</v>
      </c>
      <c r="I189" t="b">
        <v>0</v>
      </c>
      <c r="K189" t="s">
        <v>18</v>
      </c>
    </row>
    <row r="190" spans="1:11" x14ac:dyDescent="0.25">
      <c r="A190">
        <v>189</v>
      </c>
      <c r="B190" t="s">
        <v>54</v>
      </c>
      <c r="C190" t="s">
        <v>49</v>
      </c>
      <c r="D190" t="s">
        <v>40</v>
      </c>
      <c r="E190" t="s">
        <v>31</v>
      </c>
      <c r="F190" s="1">
        <v>45944</v>
      </c>
      <c r="G190" s="1">
        <v>45980</v>
      </c>
      <c r="H190">
        <v>37.299999999999997</v>
      </c>
      <c r="I190" t="b">
        <v>1</v>
      </c>
      <c r="J190">
        <v>85.6</v>
      </c>
      <c r="K190" t="s">
        <v>23</v>
      </c>
    </row>
    <row r="191" spans="1:11" x14ac:dyDescent="0.25">
      <c r="A191">
        <v>190</v>
      </c>
      <c r="B191" t="s">
        <v>54</v>
      </c>
      <c r="C191" t="s">
        <v>49</v>
      </c>
      <c r="D191" t="s">
        <v>33</v>
      </c>
      <c r="E191" t="s">
        <v>14</v>
      </c>
      <c r="F191" s="1">
        <v>45906</v>
      </c>
      <c r="G191" s="1">
        <v>45950</v>
      </c>
      <c r="H191">
        <v>6.2</v>
      </c>
      <c r="I191" t="b">
        <v>1</v>
      </c>
      <c r="J191">
        <v>65.2</v>
      </c>
      <c r="K191" t="s">
        <v>23</v>
      </c>
    </row>
    <row r="192" spans="1:11" x14ac:dyDescent="0.25">
      <c r="A192">
        <v>191</v>
      </c>
      <c r="B192" t="s">
        <v>54</v>
      </c>
      <c r="C192" t="s">
        <v>49</v>
      </c>
      <c r="D192" t="s">
        <v>47</v>
      </c>
      <c r="E192" t="s">
        <v>25</v>
      </c>
      <c r="F192" s="1">
        <v>46012</v>
      </c>
      <c r="G192" s="1">
        <v>46042</v>
      </c>
      <c r="H192">
        <v>37.200000000000003</v>
      </c>
      <c r="I192" t="b">
        <v>1</v>
      </c>
      <c r="J192">
        <v>89</v>
      </c>
      <c r="K192" t="s">
        <v>23</v>
      </c>
    </row>
    <row r="193" spans="1:11" x14ac:dyDescent="0.25">
      <c r="A193">
        <v>192</v>
      </c>
      <c r="B193" t="s">
        <v>54</v>
      </c>
      <c r="C193" t="s">
        <v>49</v>
      </c>
      <c r="D193" t="s">
        <v>34</v>
      </c>
      <c r="E193" t="s">
        <v>14</v>
      </c>
      <c r="F193" s="1">
        <v>45794</v>
      </c>
      <c r="H193">
        <v>21</v>
      </c>
      <c r="I193" t="b">
        <v>0</v>
      </c>
      <c r="K193" t="s">
        <v>15</v>
      </c>
    </row>
    <row r="194" spans="1:11" x14ac:dyDescent="0.25">
      <c r="A194">
        <v>193</v>
      </c>
      <c r="B194" t="s">
        <v>54</v>
      </c>
      <c r="C194" t="s">
        <v>49</v>
      </c>
      <c r="D194" t="s">
        <v>19</v>
      </c>
      <c r="E194" t="s">
        <v>14</v>
      </c>
      <c r="F194" s="1">
        <v>45894</v>
      </c>
      <c r="G194" s="1">
        <v>45912</v>
      </c>
      <c r="H194">
        <v>28.4</v>
      </c>
      <c r="I194" t="b">
        <v>1</v>
      </c>
      <c r="J194">
        <v>61.6</v>
      </c>
      <c r="K194" t="s">
        <v>23</v>
      </c>
    </row>
    <row r="195" spans="1:11" x14ac:dyDescent="0.25">
      <c r="A195">
        <v>194</v>
      </c>
      <c r="B195" t="s">
        <v>54</v>
      </c>
      <c r="C195" t="s">
        <v>49</v>
      </c>
      <c r="D195" t="s">
        <v>43</v>
      </c>
      <c r="E195" t="s">
        <v>17</v>
      </c>
      <c r="F195" s="1">
        <v>45788</v>
      </c>
      <c r="H195">
        <v>39.700000000000003</v>
      </c>
      <c r="I195" t="b">
        <v>0</v>
      </c>
      <c r="K195" t="s">
        <v>15</v>
      </c>
    </row>
    <row r="196" spans="1:11" x14ac:dyDescent="0.25">
      <c r="A196">
        <v>195</v>
      </c>
      <c r="B196" t="s">
        <v>54</v>
      </c>
      <c r="C196" t="s">
        <v>49</v>
      </c>
      <c r="D196" t="s">
        <v>24</v>
      </c>
      <c r="E196" t="s">
        <v>25</v>
      </c>
      <c r="F196" s="1">
        <v>45995</v>
      </c>
      <c r="G196" s="1">
        <v>46026</v>
      </c>
      <c r="H196">
        <v>38.1</v>
      </c>
      <c r="I196" t="b">
        <v>1</v>
      </c>
      <c r="J196">
        <v>89.5</v>
      </c>
      <c r="K196" t="s">
        <v>23</v>
      </c>
    </row>
    <row r="197" spans="1:11" x14ac:dyDescent="0.25">
      <c r="A197">
        <v>196</v>
      </c>
      <c r="B197" t="s">
        <v>54</v>
      </c>
      <c r="C197" t="s">
        <v>49</v>
      </c>
      <c r="D197" t="s">
        <v>21</v>
      </c>
      <c r="E197" t="s">
        <v>22</v>
      </c>
      <c r="F197" s="1">
        <v>46060</v>
      </c>
      <c r="H197">
        <v>22.3</v>
      </c>
      <c r="I197" t="b">
        <v>0</v>
      </c>
      <c r="K197" t="s">
        <v>15</v>
      </c>
    </row>
    <row r="198" spans="1:11" x14ac:dyDescent="0.25">
      <c r="A198">
        <v>197</v>
      </c>
      <c r="B198" t="s">
        <v>54</v>
      </c>
      <c r="C198" t="s">
        <v>49</v>
      </c>
      <c r="D198" t="s">
        <v>19</v>
      </c>
      <c r="E198" t="s">
        <v>14</v>
      </c>
      <c r="F198" s="1">
        <v>45806</v>
      </c>
      <c r="H198">
        <v>16.3</v>
      </c>
      <c r="I198" t="b">
        <v>0</v>
      </c>
      <c r="K198" t="s">
        <v>15</v>
      </c>
    </row>
    <row r="199" spans="1:11" x14ac:dyDescent="0.25">
      <c r="A199">
        <v>198</v>
      </c>
      <c r="B199" t="s">
        <v>54</v>
      </c>
      <c r="C199" t="s">
        <v>49</v>
      </c>
      <c r="D199" t="s">
        <v>34</v>
      </c>
      <c r="E199" t="s">
        <v>14</v>
      </c>
      <c r="F199" s="1">
        <v>45866</v>
      </c>
      <c r="G199" s="1">
        <v>45888</v>
      </c>
      <c r="H199">
        <v>7.3</v>
      </c>
      <c r="I199" t="b">
        <v>1</v>
      </c>
      <c r="J199">
        <v>86.2</v>
      </c>
      <c r="K199" t="s">
        <v>23</v>
      </c>
    </row>
    <row r="200" spans="1:11" x14ac:dyDescent="0.25">
      <c r="A200">
        <v>199</v>
      </c>
      <c r="B200" t="s">
        <v>54</v>
      </c>
      <c r="C200" t="s">
        <v>49</v>
      </c>
      <c r="D200" t="s">
        <v>13</v>
      </c>
      <c r="E200" t="s">
        <v>14</v>
      </c>
      <c r="F200" s="1">
        <v>45795</v>
      </c>
      <c r="G200" s="1">
        <v>45800</v>
      </c>
      <c r="H200">
        <v>11.1</v>
      </c>
      <c r="I200" t="b">
        <v>1</v>
      </c>
      <c r="J200">
        <v>94.4</v>
      </c>
      <c r="K200" t="s">
        <v>23</v>
      </c>
    </row>
    <row r="201" spans="1:11" x14ac:dyDescent="0.25">
      <c r="A201">
        <v>200</v>
      </c>
      <c r="B201" t="s">
        <v>54</v>
      </c>
      <c r="C201" t="s">
        <v>49</v>
      </c>
      <c r="D201" t="s">
        <v>33</v>
      </c>
      <c r="E201" t="s">
        <v>14</v>
      </c>
      <c r="F201" s="1">
        <v>46068</v>
      </c>
      <c r="G201" s="1">
        <v>46099</v>
      </c>
      <c r="H201">
        <v>13.9</v>
      </c>
      <c r="I201" t="b">
        <v>0</v>
      </c>
      <c r="J201">
        <v>71.3</v>
      </c>
      <c r="K201" t="s">
        <v>23</v>
      </c>
    </row>
    <row r="202" spans="1:11" x14ac:dyDescent="0.25">
      <c r="A202">
        <v>201</v>
      </c>
      <c r="B202" t="s">
        <v>54</v>
      </c>
      <c r="C202" t="s">
        <v>49</v>
      </c>
      <c r="D202" t="s">
        <v>28</v>
      </c>
      <c r="E202" t="s">
        <v>22</v>
      </c>
      <c r="F202" s="1">
        <v>46069</v>
      </c>
      <c r="G202" s="1">
        <v>46110</v>
      </c>
      <c r="H202">
        <v>23.5</v>
      </c>
      <c r="I202" t="b">
        <v>1</v>
      </c>
      <c r="J202">
        <v>98.1</v>
      </c>
      <c r="K202" t="s">
        <v>23</v>
      </c>
    </row>
    <row r="203" spans="1:11" x14ac:dyDescent="0.25">
      <c r="A203">
        <v>202</v>
      </c>
      <c r="B203" t="s">
        <v>54</v>
      </c>
      <c r="C203" t="s">
        <v>49</v>
      </c>
      <c r="D203" t="s">
        <v>24</v>
      </c>
      <c r="E203" t="s">
        <v>25</v>
      </c>
      <c r="F203" s="1">
        <v>45993</v>
      </c>
      <c r="H203">
        <v>15.5</v>
      </c>
      <c r="I203" t="b">
        <v>0</v>
      </c>
      <c r="K203" t="s">
        <v>15</v>
      </c>
    </row>
    <row r="204" spans="1:11" x14ac:dyDescent="0.25">
      <c r="A204">
        <v>203</v>
      </c>
      <c r="B204" t="s">
        <v>54</v>
      </c>
      <c r="C204" t="s">
        <v>49</v>
      </c>
      <c r="D204" t="s">
        <v>19</v>
      </c>
      <c r="E204" t="s">
        <v>14</v>
      </c>
      <c r="F204" s="1">
        <v>45891</v>
      </c>
      <c r="H204">
        <v>4.8</v>
      </c>
      <c r="I204" t="b">
        <v>0</v>
      </c>
      <c r="K204" t="s">
        <v>15</v>
      </c>
    </row>
    <row r="205" spans="1:11" x14ac:dyDescent="0.25">
      <c r="A205">
        <v>204</v>
      </c>
      <c r="B205" t="s">
        <v>54</v>
      </c>
      <c r="C205" t="s">
        <v>49</v>
      </c>
      <c r="D205" t="s">
        <v>27</v>
      </c>
      <c r="E205" t="s">
        <v>25</v>
      </c>
      <c r="F205" s="1">
        <v>45973</v>
      </c>
      <c r="H205">
        <v>20</v>
      </c>
      <c r="I205" t="b">
        <v>0</v>
      </c>
      <c r="K205" t="s">
        <v>15</v>
      </c>
    </row>
    <row r="206" spans="1:11" x14ac:dyDescent="0.25">
      <c r="A206">
        <v>205</v>
      </c>
      <c r="B206" t="s">
        <v>55</v>
      </c>
      <c r="C206" t="s">
        <v>12</v>
      </c>
      <c r="D206" t="s">
        <v>26</v>
      </c>
      <c r="E206" t="s">
        <v>17</v>
      </c>
      <c r="F206" s="1">
        <v>46042</v>
      </c>
      <c r="G206" s="1">
        <v>46060</v>
      </c>
      <c r="H206">
        <v>21.6</v>
      </c>
      <c r="I206" t="b">
        <v>1</v>
      </c>
      <c r="J206">
        <v>73.400000000000006</v>
      </c>
      <c r="K206" t="s">
        <v>23</v>
      </c>
    </row>
    <row r="207" spans="1:11" x14ac:dyDescent="0.25">
      <c r="A207">
        <v>206</v>
      </c>
      <c r="B207" t="s">
        <v>55</v>
      </c>
      <c r="C207" t="s">
        <v>12</v>
      </c>
      <c r="D207" t="s">
        <v>38</v>
      </c>
      <c r="E207" t="s">
        <v>22</v>
      </c>
      <c r="F207" s="1">
        <v>45767</v>
      </c>
      <c r="H207">
        <v>34.4</v>
      </c>
      <c r="I207" t="b">
        <v>0</v>
      </c>
      <c r="J207">
        <v>51.6</v>
      </c>
      <c r="K207" t="s">
        <v>20</v>
      </c>
    </row>
    <row r="208" spans="1:11" x14ac:dyDescent="0.25">
      <c r="A208">
        <v>207</v>
      </c>
      <c r="B208" t="s">
        <v>55</v>
      </c>
      <c r="C208" t="s">
        <v>12</v>
      </c>
      <c r="D208" t="s">
        <v>26</v>
      </c>
      <c r="E208" t="s">
        <v>17</v>
      </c>
      <c r="F208" s="1">
        <v>46002</v>
      </c>
      <c r="G208" s="1">
        <v>46016</v>
      </c>
      <c r="H208">
        <v>20.399999999999999</v>
      </c>
      <c r="I208" t="b">
        <v>0</v>
      </c>
      <c r="J208">
        <v>85.8</v>
      </c>
      <c r="K208" t="s">
        <v>23</v>
      </c>
    </row>
    <row r="209" spans="1:11" x14ac:dyDescent="0.25">
      <c r="A209">
        <v>208</v>
      </c>
      <c r="B209" t="s">
        <v>55</v>
      </c>
      <c r="C209" t="s">
        <v>12</v>
      </c>
      <c r="D209" t="s">
        <v>13</v>
      </c>
      <c r="E209" t="s">
        <v>14</v>
      </c>
      <c r="F209" s="1">
        <v>45788</v>
      </c>
      <c r="H209">
        <v>18.8</v>
      </c>
      <c r="I209" t="b">
        <v>0</v>
      </c>
      <c r="K209" t="s">
        <v>15</v>
      </c>
    </row>
    <row r="210" spans="1:11" x14ac:dyDescent="0.25">
      <c r="A210">
        <v>209</v>
      </c>
      <c r="B210" t="s">
        <v>55</v>
      </c>
      <c r="C210" t="s">
        <v>12</v>
      </c>
      <c r="D210" t="s">
        <v>21</v>
      </c>
      <c r="E210" t="s">
        <v>22</v>
      </c>
      <c r="F210" s="1">
        <v>45756</v>
      </c>
      <c r="H210">
        <v>10</v>
      </c>
      <c r="I210" t="b">
        <v>0</v>
      </c>
      <c r="K210" t="s">
        <v>18</v>
      </c>
    </row>
    <row r="211" spans="1:11" x14ac:dyDescent="0.25">
      <c r="A211">
        <v>210</v>
      </c>
      <c r="B211" t="s">
        <v>55</v>
      </c>
      <c r="C211" t="s">
        <v>12</v>
      </c>
      <c r="D211" t="s">
        <v>43</v>
      </c>
      <c r="E211" t="s">
        <v>17</v>
      </c>
      <c r="F211" s="1">
        <v>45661</v>
      </c>
      <c r="H211">
        <v>34.200000000000003</v>
      </c>
      <c r="I211" t="b">
        <v>0</v>
      </c>
      <c r="K211" t="s">
        <v>18</v>
      </c>
    </row>
    <row r="212" spans="1:11" x14ac:dyDescent="0.25">
      <c r="A212">
        <v>211</v>
      </c>
      <c r="B212" t="s">
        <v>55</v>
      </c>
      <c r="C212" t="s">
        <v>12</v>
      </c>
      <c r="D212" t="s">
        <v>29</v>
      </c>
      <c r="E212" t="s">
        <v>22</v>
      </c>
      <c r="F212" s="1">
        <v>45720</v>
      </c>
      <c r="G212" s="1">
        <v>45752</v>
      </c>
      <c r="H212">
        <v>18</v>
      </c>
      <c r="I212" t="b">
        <v>1</v>
      </c>
      <c r="J212">
        <v>67.7</v>
      </c>
      <c r="K212" t="s">
        <v>23</v>
      </c>
    </row>
    <row r="213" spans="1:11" x14ac:dyDescent="0.25">
      <c r="A213">
        <v>212</v>
      </c>
      <c r="B213" t="s">
        <v>55</v>
      </c>
      <c r="C213" t="s">
        <v>12</v>
      </c>
      <c r="D213" t="s">
        <v>19</v>
      </c>
      <c r="E213" t="s">
        <v>14</v>
      </c>
      <c r="F213" s="1">
        <v>45727</v>
      </c>
      <c r="H213">
        <v>37.6</v>
      </c>
      <c r="I213" t="b">
        <v>0</v>
      </c>
      <c r="K213" t="s">
        <v>15</v>
      </c>
    </row>
    <row r="214" spans="1:11" x14ac:dyDescent="0.25">
      <c r="A214">
        <v>213</v>
      </c>
      <c r="B214" t="s">
        <v>55</v>
      </c>
      <c r="C214" t="s">
        <v>12</v>
      </c>
      <c r="D214" t="s">
        <v>27</v>
      </c>
      <c r="E214" t="s">
        <v>25</v>
      </c>
      <c r="F214" s="1">
        <v>46099</v>
      </c>
      <c r="G214" s="1">
        <v>46129</v>
      </c>
      <c r="H214">
        <v>32.5</v>
      </c>
      <c r="I214" t="b">
        <v>1</v>
      </c>
      <c r="J214">
        <v>95.4</v>
      </c>
      <c r="K214" t="s">
        <v>23</v>
      </c>
    </row>
    <row r="215" spans="1:11" x14ac:dyDescent="0.25">
      <c r="A215">
        <v>214</v>
      </c>
      <c r="B215" t="s">
        <v>55</v>
      </c>
      <c r="C215" t="s">
        <v>12</v>
      </c>
      <c r="D215" t="s">
        <v>30</v>
      </c>
      <c r="E215" t="s">
        <v>31</v>
      </c>
      <c r="F215" s="1">
        <v>45956</v>
      </c>
      <c r="H215">
        <v>10.3</v>
      </c>
      <c r="I215" t="b">
        <v>0</v>
      </c>
      <c r="K215" t="s">
        <v>18</v>
      </c>
    </row>
    <row r="216" spans="1:11" x14ac:dyDescent="0.25">
      <c r="A216">
        <v>215</v>
      </c>
      <c r="B216" t="s">
        <v>55</v>
      </c>
      <c r="C216" t="s">
        <v>12</v>
      </c>
      <c r="D216" t="s">
        <v>30</v>
      </c>
      <c r="E216" t="s">
        <v>31</v>
      </c>
      <c r="F216" s="1">
        <v>45848</v>
      </c>
      <c r="G216" s="1">
        <v>45873</v>
      </c>
      <c r="H216">
        <v>28.7</v>
      </c>
      <c r="I216" t="b">
        <v>1</v>
      </c>
      <c r="J216">
        <v>99.7</v>
      </c>
      <c r="K216" t="s">
        <v>23</v>
      </c>
    </row>
    <row r="217" spans="1:11" x14ac:dyDescent="0.25">
      <c r="A217">
        <v>216</v>
      </c>
      <c r="B217" t="s">
        <v>55</v>
      </c>
      <c r="C217" t="s">
        <v>12</v>
      </c>
      <c r="D217" t="s">
        <v>47</v>
      </c>
      <c r="E217" t="s">
        <v>25</v>
      </c>
      <c r="F217" s="1">
        <v>46107</v>
      </c>
      <c r="G217" s="1">
        <v>46113</v>
      </c>
      <c r="H217">
        <v>30.2</v>
      </c>
      <c r="I217" t="b">
        <v>1</v>
      </c>
      <c r="J217">
        <v>72.7</v>
      </c>
      <c r="K217" t="s">
        <v>23</v>
      </c>
    </row>
    <row r="218" spans="1:11" x14ac:dyDescent="0.25">
      <c r="A218">
        <v>217</v>
      </c>
      <c r="B218" t="s">
        <v>55</v>
      </c>
      <c r="C218" t="s">
        <v>12</v>
      </c>
      <c r="D218" t="s">
        <v>27</v>
      </c>
      <c r="E218" t="s">
        <v>25</v>
      </c>
      <c r="F218" s="1">
        <v>45865</v>
      </c>
      <c r="G218" s="1">
        <v>45877</v>
      </c>
      <c r="H218">
        <v>28.2</v>
      </c>
      <c r="I218" t="b">
        <v>1</v>
      </c>
      <c r="J218">
        <v>91.5</v>
      </c>
      <c r="K218" t="s">
        <v>23</v>
      </c>
    </row>
    <row r="219" spans="1:11" x14ac:dyDescent="0.25">
      <c r="A219">
        <v>218</v>
      </c>
      <c r="B219" t="s">
        <v>55</v>
      </c>
      <c r="C219" t="s">
        <v>12</v>
      </c>
      <c r="D219" t="s">
        <v>24</v>
      </c>
      <c r="E219" t="s">
        <v>25</v>
      </c>
      <c r="F219" s="1">
        <v>46032</v>
      </c>
      <c r="G219" s="1">
        <v>46073</v>
      </c>
      <c r="H219">
        <v>15.6</v>
      </c>
      <c r="I219" t="b">
        <v>1</v>
      </c>
      <c r="J219">
        <v>92.1</v>
      </c>
      <c r="K219" t="s">
        <v>23</v>
      </c>
    </row>
    <row r="220" spans="1:11" x14ac:dyDescent="0.25">
      <c r="A220">
        <v>219</v>
      </c>
      <c r="B220" t="s">
        <v>55</v>
      </c>
      <c r="C220" t="s">
        <v>12</v>
      </c>
      <c r="D220" t="s">
        <v>37</v>
      </c>
      <c r="E220" t="s">
        <v>17</v>
      </c>
      <c r="F220" s="1">
        <v>45879</v>
      </c>
      <c r="G220" s="1">
        <v>45892</v>
      </c>
      <c r="H220">
        <v>35.6</v>
      </c>
      <c r="I220" t="b">
        <v>0</v>
      </c>
      <c r="J220">
        <v>66.099999999999994</v>
      </c>
      <c r="K220" t="s">
        <v>23</v>
      </c>
    </row>
    <row r="221" spans="1:11" x14ac:dyDescent="0.25">
      <c r="A221">
        <v>220</v>
      </c>
      <c r="B221" t="s">
        <v>55</v>
      </c>
      <c r="C221" t="s">
        <v>12</v>
      </c>
      <c r="D221" t="s">
        <v>43</v>
      </c>
      <c r="E221" t="s">
        <v>17</v>
      </c>
      <c r="F221" s="1">
        <v>45898</v>
      </c>
      <c r="G221" s="1">
        <v>45914</v>
      </c>
      <c r="H221">
        <v>4</v>
      </c>
      <c r="I221" t="b">
        <v>1</v>
      </c>
      <c r="J221">
        <v>91</v>
      </c>
      <c r="K221" t="s">
        <v>23</v>
      </c>
    </row>
    <row r="222" spans="1:11" x14ac:dyDescent="0.25">
      <c r="A222">
        <v>221</v>
      </c>
      <c r="B222" t="s">
        <v>55</v>
      </c>
      <c r="C222" t="s">
        <v>12</v>
      </c>
      <c r="D222" t="s">
        <v>30</v>
      </c>
      <c r="E222" t="s">
        <v>31</v>
      </c>
      <c r="F222" s="1">
        <v>45673</v>
      </c>
      <c r="H222">
        <v>10</v>
      </c>
      <c r="I222" t="b">
        <v>0</v>
      </c>
      <c r="K222" t="s">
        <v>18</v>
      </c>
    </row>
    <row r="223" spans="1:11" x14ac:dyDescent="0.25">
      <c r="A223">
        <v>222</v>
      </c>
      <c r="B223" t="s">
        <v>55</v>
      </c>
      <c r="C223" t="s">
        <v>12</v>
      </c>
      <c r="D223" t="s">
        <v>33</v>
      </c>
      <c r="E223" t="s">
        <v>14</v>
      </c>
      <c r="F223" s="1">
        <v>45724</v>
      </c>
      <c r="H223">
        <v>23.4</v>
      </c>
      <c r="I223" t="b">
        <v>0</v>
      </c>
      <c r="K223" t="s">
        <v>18</v>
      </c>
    </row>
    <row r="224" spans="1:11" x14ac:dyDescent="0.25">
      <c r="A224">
        <v>223</v>
      </c>
      <c r="B224" t="s">
        <v>55</v>
      </c>
      <c r="C224" t="s">
        <v>12</v>
      </c>
      <c r="D224" t="s">
        <v>43</v>
      </c>
      <c r="E224" t="s">
        <v>17</v>
      </c>
      <c r="F224" s="1">
        <v>46026</v>
      </c>
      <c r="G224" s="1">
        <v>46032</v>
      </c>
      <c r="H224">
        <v>30.6</v>
      </c>
      <c r="I224" t="b">
        <v>1</v>
      </c>
      <c r="J224">
        <v>90.1</v>
      </c>
      <c r="K224" t="s">
        <v>23</v>
      </c>
    </row>
    <row r="225" spans="1:11" x14ac:dyDescent="0.25">
      <c r="A225">
        <v>224</v>
      </c>
      <c r="B225" t="s">
        <v>56</v>
      </c>
      <c r="C225" t="s">
        <v>36</v>
      </c>
      <c r="D225" t="s">
        <v>28</v>
      </c>
      <c r="E225" t="s">
        <v>22</v>
      </c>
      <c r="F225" s="1">
        <v>45900</v>
      </c>
      <c r="G225" s="1">
        <v>45935</v>
      </c>
      <c r="H225">
        <v>17.2</v>
      </c>
      <c r="I225" t="b">
        <v>0</v>
      </c>
      <c r="J225">
        <v>68.3</v>
      </c>
      <c r="K225" t="s">
        <v>23</v>
      </c>
    </row>
    <row r="226" spans="1:11" x14ac:dyDescent="0.25">
      <c r="A226">
        <v>225</v>
      </c>
      <c r="B226" t="s">
        <v>56</v>
      </c>
      <c r="C226" t="s">
        <v>36</v>
      </c>
      <c r="D226" t="s">
        <v>19</v>
      </c>
      <c r="E226" t="s">
        <v>14</v>
      </c>
      <c r="F226" s="1">
        <v>46090</v>
      </c>
      <c r="G226" s="1">
        <v>46099</v>
      </c>
      <c r="H226">
        <v>10.3</v>
      </c>
      <c r="I226" t="b">
        <v>0</v>
      </c>
      <c r="J226">
        <v>92.9</v>
      </c>
      <c r="K226" t="s">
        <v>23</v>
      </c>
    </row>
    <row r="227" spans="1:11" x14ac:dyDescent="0.25">
      <c r="A227">
        <v>226</v>
      </c>
      <c r="B227" t="s">
        <v>56</v>
      </c>
      <c r="C227" t="s">
        <v>36</v>
      </c>
      <c r="D227" t="s">
        <v>44</v>
      </c>
      <c r="E227" t="s">
        <v>31</v>
      </c>
      <c r="F227" s="1">
        <v>45972</v>
      </c>
      <c r="G227" s="1">
        <v>46016</v>
      </c>
      <c r="H227">
        <v>27.5</v>
      </c>
      <c r="I227" t="b">
        <v>1</v>
      </c>
      <c r="J227">
        <v>75.7</v>
      </c>
      <c r="K227" t="s">
        <v>23</v>
      </c>
    </row>
    <row r="228" spans="1:11" x14ac:dyDescent="0.25">
      <c r="A228">
        <v>227</v>
      </c>
      <c r="B228" t="s">
        <v>56</v>
      </c>
      <c r="C228" t="s">
        <v>36</v>
      </c>
      <c r="D228" t="s">
        <v>40</v>
      </c>
      <c r="E228" t="s">
        <v>31</v>
      </c>
      <c r="F228" s="1">
        <v>46086</v>
      </c>
      <c r="H228">
        <v>10.9</v>
      </c>
      <c r="I228" t="b">
        <v>0</v>
      </c>
      <c r="K228" t="s">
        <v>18</v>
      </c>
    </row>
    <row r="229" spans="1:11" x14ac:dyDescent="0.25">
      <c r="A229">
        <v>228</v>
      </c>
      <c r="B229" t="s">
        <v>56</v>
      </c>
      <c r="C229" t="s">
        <v>36</v>
      </c>
      <c r="D229" t="s">
        <v>33</v>
      </c>
      <c r="E229" t="s">
        <v>14</v>
      </c>
      <c r="F229" s="1">
        <v>45870</v>
      </c>
      <c r="G229" s="1">
        <v>45901</v>
      </c>
      <c r="H229">
        <v>30.5</v>
      </c>
      <c r="I229" t="b">
        <v>1</v>
      </c>
      <c r="J229">
        <v>82</v>
      </c>
      <c r="K229" t="s">
        <v>23</v>
      </c>
    </row>
    <row r="230" spans="1:11" x14ac:dyDescent="0.25">
      <c r="A230">
        <v>229</v>
      </c>
      <c r="B230" t="s">
        <v>56</v>
      </c>
      <c r="C230" t="s">
        <v>36</v>
      </c>
      <c r="D230" t="s">
        <v>38</v>
      </c>
      <c r="E230" t="s">
        <v>22</v>
      </c>
      <c r="F230" s="1">
        <v>45824</v>
      </c>
      <c r="G230" s="1">
        <v>45857</v>
      </c>
      <c r="H230">
        <v>5.8</v>
      </c>
      <c r="I230" t="b">
        <v>1</v>
      </c>
      <c r="J230">
        <v>79.400000000000006</v>
      </c>
      <c r="K230" t="s">
        <v>23</v>
      </c>
    </row>
    <row r="231" spans="1:11" x14ac:dyDescent="0.25">
      <c r="A231">
        <v>230</v>
      </c>
      <c r="B231" t="s">
        <v>56</v>
      </c>
      <c r="C231" t="s">
        <v>36</v>
      </c>
      <c r="D231" t="s">
        <v>34</v>
      </c>
      <c r="E231" t="s">
        <v>14</v>
      </c>
      <c r="F231" s="1">
        <v>45787</v>
      </c>
      <c r="H231">
        <v>33.799999999999997</v>
      </c>
      <c r="I231" t="b">
        <v>0</v>
      </c>
      <c r="K231" t="s">
        <v>18</v>
      </c>
    </row>
    <row r="232" spans="1:11" x14ac:dyDescent="0.25">
      <c r="A232">
        <v>231</v>
      </c>
      <c r="B232" t="s">
        <v>56</v>
      </c>
      <c r="C232" t="s">
        <v>36</v>
      </c>
      <c r="D232" t="s">
        <v>28</v>
      </c>
      <c r="E232" t="s">
        <v>22</v>
      </c>
      <c r="F232" s="1">
        <v>45728</v>
      </c>
      <c r="G232" s="1">
        <v>45748</v>
      </c>
      <c r="H232">
        <v>22.8</v>
      </c>
      <c r="I232" t="b">
        <v>1</v>
      </c>
      <c r="J232">
        <v>82.6</v>
      </c>
      <c r="K232" t="s">
        <v>23</v>
      </c>
    </row>
    <row r="233" spans="1:11" x14ac:dyDescent="0.25">
      <c r="A233">
        <v>232</v>
      </c>
      <c r="B233" t="s">
        <v>56</v>
      </c>
      <c r="C233" t="s">
        <v>36</v>
      </c>
      <c r="D233" t="s">
        <v>13</v>
      </c>
      <c r="E233" t="s">
        <v>14</v>
      </c>
      <c r="F233" s="1">
        <v>46037</v>
      </c>
      <c r="G233" s="1">
        <v>46044</v>
      </c>
      <c r="H233">
        <v>11.6</v>
      </c>
      <c r="I233" t="b">
        <v>1</v>
      </c>
      <c r="J233">
        <v>85.9</v>
      </c>
      <c r="K233" t="s">
        <v>23</v>
      </c>
    </row>
    <row r="234" spans="1:11" x14ac:dyDescent="0.25">
      <c r="A234">
        <v>233</v>
      </c>
      <c r="B234" t="s">
        <v>56</v>
      </c>
      <c r="C234" t="s">
        <v>36</v>
      </c>
      <c r="D234" t="s">
        <v>33</v>
      </c>
      <c r="E234" t="s">
        <v>14</v>
      </c>
      <c r="F234" s="1">
        <v>46035</v>
      </c>
      <c r="G234" s="1">
        <v>46075</v>
      </c>
      <c r="H234">
        <v>21.1</v>
      </c>
      <c r="I234" t="b">
        <v>1</v>
      </c>
      <c r="J234">
        <v>62.4</v>
      </c>
      <c r="K234" t="s">
        <v>23</v>
      </c>
    </row>
    <row r="235" spans="1:11" x14ac:dyDescent="0.25">
      <c r="A235">
        <v>234</v>
      </c>
      <c r="B235" t="s">
        <v>56</v>
      </c>
      <c r="C235" t="s">
        <v>36</v>
      </c>
      <c r="D235" t="s">
        <v>29</v>
      </c>
      <c r="E235" t="s">
        <v>22</v>
      </c>
      <c r="F235" s="1">
        <v>45871</v>
      </c>
      <c r="G235" s="1">
        <v>45899</v>
      </c>
      <c r="H235">
        <v>28.5</v>
      </c>
      <c r="I235" t="b">
        <v>0</v>
      </c>
      <c r="J235">
        <v>64</v>
      </c>
      <c r="K235" t="s">
        <v>23</v>
      </c>
    </row>
    <row r="236" spans="1:11" x14ac:dyDescent="0.25">
      <c r="A236">
        <v>235</v>
      </c>
      <c r="B236" t="s">
        <v>56</v>
      </c>
      <c r="C236" t="s">
        <v>36</v>
      </c>
      <c r="D236" t="s">
        <v>47</v>
      </c>
      <c r="E236" t="s">
        <v>25</v>
      </c>
      <c r="F236" s="1">
        <v>45705</v>
      </c>
      <c r="G236" s="1">
        <v>45726</v>
      </c>
      <c r="H236">
        <v>8.8000000000000007</v>
      </c>
      <c r="I236" t="b">
        <v>1</v>
      </c>
      <c r="J236">
        <v>72.8</v>
      </c>
      <c r="K236" t="s">
        <v>23</v>
      </c>
    </row>
    <row r="237" spans="1:11" x14ac:dyDescent="0.25">
      <c r="A237">
        <v>236</v>
      </c>
      <c r="B237" t="s">
        <v>56</v>
      </c>
      <c r="C237" t="s">
        <v>36</v>
      </c>
      <c r="D237" t="s">
        <v>21</v>
      </c>
      <c r="E237" t="s">
        <v>22</v>
      </c>
      <c r="F237" s="1">
        <v>45767</v>
      </c>
      <c r="G237" s="1">
        <v>45774</v>
      </c>
      <c r="H237">
        <v>13.5</v>
      </c>
      <c r="I237" t="b">
        <v>1</v>
      </c>
      <c r="J237">
        <v>68.2</v>
      </c>
      <c r="K237" t="s">
        <v>23</v>
      </c>
    </row>
    <row r="238" spans="1:11" x14ac:dyDescent="0.25">
      <c r="A238">
        <v>237</v>
      </c>
      <c r="B238" t="s">
        <v>56</v>
      </c>
      <c r="C238" t="s">
        <v>36</v>
      </c>
      <c r="D238" t="s">
        <v>26</v>
      </c>
      <c r="E238" t="s">
        <v>17</v>
      </c>
      <c r="F238" s="1">
        <v>45672</v>
      </c>
      <c r="G238" s="1">
        <v>45714</v>
      </c>
      <c r="H238">
        <v>7.9</v>
      </c>
      <c r="I238" t="b">
        <v>0</v>
      </c>
      <c r="J238">
        <v>84.8</v>
      </c>
      <c r="K238" t="s">
        <v>23</v>
      </c>
    </row>
    <row r="239" spans="1:11" x14ac:dyDescent="0.25">
      <c r="A239">
        <v>238</v>
      </c>
      <c r="B239" t="s">
        <v>56</v>
      </c>
      <c r="C239" t="s">
        <v>36</v>
      </c>
      <c r="D239" t="s">
        <v>47</v>
      </c>
      <c r="E239" t="s">
        <v>25</v>
      </c>
      <c r="F239" s="1">
        <v>45747</v>
      </c>
      <c r="H239">
        <v>33.5</v>
      </c>
      <c r="I239" t="b">
        <v>0</v>
      </c>
      <c r="K239" t="s">
        <v>18</v>
      </c>
    </row>
    <row r="240" spans="1:11" x14ac:dyDescent="0.25">
      <c r="A240">
        <v>239</v>
      </c>
      <c r="B240" t="s">
        <v>56</v>
      </c>
      <c r="C240" t="s">
        <v>36</v>
      </c>
      <c r="D240" t="s">
        <v>13</v>
      </c>
      <c r="E240" t="s">
        <v>14</v>
      </c>
      <c r="F240" s="1">
        <v>45722</v>
      </c>
      <c r="G240" s="1">
        <v>45766</v>
      </c>
      <c r="H240">
        <v>18.399999999999999</v>
      </c>
      <c r="I240" t="b">
        <v>1</v>
      </c>
      <c r="J240">
        <v>97.9</v>
      </c>
      <c r="K240" t="s">
        <v>23</v>
      </c>
    </row>
    <row r="241" spans="1:11" x14ac:dyDescent="0.25">
      <c r="A241">
        <v>240</v>
      </c>
      <c r="B241" t="s">
        <v>56</v>
      </c>
      <c r="C241" t="s">
        <v>36</v>
      </c>
      <c r="D241" t="s">
        <v>32</v>
      </c>
      <c r="E241" t="s">
        <v>31</v>
      </c>
      <c r="F241" s="1">
        <v>46070</v>
      </c>
      <c r="G241" s="1">
        <v>46107</v>
      </c>
      <c r="H241">
        <v>39.200000000000003</v>
      </c>
      <c r="I241" t="b">
        <v>1</v>
      </c>
      <c r="J241">
        <v>79.7</v>
      </c>
      <c r="K241" t="s">
        <v>23</v>
      </c>
    </row>
    <row r="242" spans="1:11" x14ac:dyDescent="0.25">
      <c r="A242">
        <v>241</v>
      </c>
      <c r="B242" t="s">
        <v>56</v>
      </c>
      <c r="C242" t="s">
        <v>36</v>
      </c>
      <c r="D242" t="s">
        <v>38</v>
      </c>
      <c r="E242" t="s">
        <v>22</v>
      </c>
      <c r="F242" s="1">
        <v>46088</v>
      </c>
      <c r="G242" s="1">
        <v>46108</v>
      </c>
      <c r="H242">
        <v>25.1</v>
      </c>
      <c r="I242" t="b">
        <v>0</v>
      </c>
      <c r="J242">
        <v>72.8</v>
      </c>
      <c r="K242" t="s">
        <v>23</v>
      </c>
    </row>
    <row r="243" spans="1:11" x14ac:dyDescent="0.25">
      <c r="A243">
        <v>242</v>
      </c>
      <c r="B243" t="s">
        <v>57</v>
      </c>
      <c r="C243" t="s">
        <v>42</v>
      </c>
      <c r="D243" t="s">
        <v>40</v>
      </c>
      <c r="E243" t="s">
        <v>31</v>
      </c>
      <c r="F243" s="1">
        <v>45704</v>
      </c>
      <c r="H243">
        <v>16.899999999999999</v>
      </c>
      <c r="I243" t="b">
        <v>0</v>
      </c>
      <c r="K243" t="s">
        <v>15</v>
      </c>
    </row>
    <row r="244" spans="1:11" x14ac:dyDescent="0.25">
      <c r="A244">
        <v>243</v>
      </c>
      <c r="B244" t="s">
        <v>57</v>
      </c>
      <c r="C244" t="s">
        <v>42</v>
      </c>
      <c r="D244" t="s">
        <v>16</v>
      </c>
      <c r="E244" t="s">
        <v>17</v>
      </c>
      <c r="F244" s="1">
        <v>45841</v>
      </c>
      <c r="H244">
        <v>37.4</v>
      </c>
      <c r="I244" t="b">
        <v>0</v>
      </c>
      <c r="K244" t="s">
        <v>15</v>
      </c>
    </row>
    <row r="245" spans="1:11" x14ac:dyDescent="0.25">
      <c r="A245">
        <v>244</v>
      </c>
      <c r="B245" t="s">
        <v>57</v>
      </c>
      <c r="C245" t="s">
        <v>42</v>
      </c>
      <c r="D245" t="s">
        <v>39</v>
      </c>
      <c r="E245" t="s">
        <v>25</v>
      </c>
      <c r="F245" s="1">
        <v>46077</v>
      </c>
      <c r="G245" s="1">
        <v>46111</v>
      </c>
      <c r="H245">
        <v>20.2</v>
      </c>
      <c r="I245" t="b">
        <v>1</v>
      </c>
      <c r="J245">
        <v>78.5</v>
      </c>
      <c r="K245" t="s">
        <v>23</v>
      </c>
    </row>
    <row r="246" spans="1:11" x14ac:dyDescent="0.25">
      <c r="A246">
        <v>245</v>
      </c>
      <c r="B246" t="s">
        <v>57</v>
      </c>
      <c r="C246" t="s">
        <v>42</v>
      </c>
      <c r="D246" t="s">
        <v>21</v>
      </c>
      <c r="E246" t="s">
        <v>22</v>
      </c>
      <c r="F246" s="1">
        <v>45954</v>
      </c>
      <c r="G246" s="1">
        <v>45973</v>
      </c>
      <c r="H246">
        <v>16.399999999999999</v>
      </c>
      <c r="I246" t="b">
        <v>1</v>
      </c>
      <c r="J246">
        <v>63.8</v>
      </c>
      <c r="K246" t="s">
        <v>23</v>
      </c>
    </row>
    <row r="247" spans="1:11" x14ac:dyDescent="0.25">
      <c r="A247">
        <v>246</v>
      </c>
      <c r="B247" t="s">
        <v>57</v>
      </c>
      <c r="C247" t="s">
        <v>42</v>
      </c>
      <c r="D247" t="s">
        <v>27</v>
      </c>
      <c r="E247" t="s">
        <v>25</v>
      </c>
      <c r="F247" s="1">
        <v>45732</v>
      </c>
      <c r="G247" s="1">
        <v>45757</v>
      </c>
      <c r="H247">
        <v>11.7</v>
      </c>
      <c r="I247" t="b">
        <v>1</v>
      </c>
      <c r="J247">
        <v>90.2</v>
      </c>
      <c r="K247" t="s">
        <v>23</v>
      </c>
    </row>
    <row r="248" spans="1:11" x14ac:dyDescent="0.25">
      <c r="A248">
        <v>247</v>
      </c>
      <c r="B248" t="s">
        <v>57</v>
      </c>
      <c r="C248" t="s">
        <v>42</v>
      </c>
      <c r="D248" t="s">
        <v>13</v>
      </c>
      <c r="E248" t="s">
        <v>14</v>
      </c>
      <c r="F248" s="1">
        <v>45773</v>
      </c>
      <c r="H248">
        <v>25.5</v>
      </c>
      <c r="I248" t="b">
        <v>0</v>
      </c>
      <c r="J248">
        <v>31.5</v>
      </c>
      <c r="K248" t="s">
        <v>20</v>
      </c>
    </row>
    <row r="249" spans="1:11" x14ac:dyDescent="0.25">
      <c r="A249">
        <v>248</v>
      </c>
      <c r="B249" t="s">
        <v>57</v>
      </c>
      <c r="C249" t="s">
        <v>42</v>
      </c>
      <c r="D249" t="s">
        <v>16</v>
      </c>
      <c r="E249" t="s">
        <v>17</v>
      </c>
      <c r="F249" s="1">
        <v>46083</v>
      </c>
      <c r="H249">
        <v>24.8</v>
      </c>
      <c r="I249" t="b">
        <v>0</v>
      </c>
      <c r="J249">
        <v>31.1</v>
      </c>
      <c r="K249" t="s">
        <v>20</v>
      </c>
    </row>
    <row r="250" spans="1:11" x14ac:dyDescent="0.25">
      <c r="A250">
        <v>249</v>
      </c>
      <c r="B250" t="s">
        <v>57</v>
      </c>
      <c r="C250" t="s">
        <v>42</v>
      </c>
      <c r="D250" t="s">
        <v>38</v>
      </c>
      <c r="E250" t="s">
        <v>22</v>
      </c>
      <c r="F250" s="1">
        <v>45964</v>
      </c>
      <c r="G250" s="1">
        <v>46005</v>
      </c>
      <c r="H250">
        <v>30.8</v>
      </c>
      <c r="I250" t="b">
        <v>1</v>
      </c>
      <c r="J250">
        <v>79.900000000000006</v>
      </c>
      <c r="K250" t="s">
        <v>23</v>
      </c>
    </row>
    <row r="251" spans="1:11" x14ac:dyDescent="0.25">
      <c r="A251">
        <v>250</v>
      </c>
      <c r="B251" t="s">
        <v>57</v>
      </c>
      <c r="C251" t="s">
        <v>42</v>
      </c>
      <c r="D251" t="s">
        <v>47</v>
      </c>
      <c r="E251" t="s">
        <v>25</v>
      </c>
      <c r="F251" s="1">
        <v>45867</v>
      </c>
      <c r="H251">
        <v>15.9</v>
      </c>
      <c r="I251" t="b">
        <v>0</v>
      </c>
      <c r="K251" t="s">
        <v>18</v>
      </c>
    </row>
    <row r="252" spans="1:11" x14ac:dyDescent="0.25">
      <c r="A252">
        <v>251</v>
      </c>
      <c r="B252" t="s">
        <v>57</v>
      </c>
      <c r="C252" t="s">
        <v>42</v>
      </c>
      <c r="D252" t="s">
        <v>40</v>
      </c>
      <c r="E252" t="s">
        <v>31</v>
      </c>
      <c r="F252" s="1">
        <v>46053</v>
      </c>
      <c r="H252">
        <v>13.7</v>
      </c>
      <c r="I252" t="b">
        <v>0</v>
      </c>
      <c r="K252" t="s">
        <v>15</v>
      </c>
    </row>
    <row r="253" spans="1:11" x14ac:dyDescent="0.25">
      <c r="A253">
        <v>252</v>
      </c>
      <c r="B253" t="s">
        <v>57</v>
      </c>
      <c r="C253" t="s">
        <v>42</v>
      </c>
      <c r="D253" t="s">
        <v>28</v>
      </c>
      <c r="E253" t="s">
        <v>22</v>
      </c>
      <c r="F253" s="1">
        <v>45730</v>
      </c>
      <c r="G253" s="1">
        <v>45752</v>
      </c>
      <c r="H253">
        <v>23.3</v>
      </c>
      <c r="I253" t="b">
        <v>1</v>
      </c>
      <c r="J253">
        <v>98.5</v>
      </c>
      <c r="K253" t="s">
        <v>23</v>
      </c>
    </row>
    <row r="254" spans="1:11" x14ac:dyDescent="0.25">
      <c r="A254">
        <v>253</v>
      </c>
      <c r="B254" t="s">
        <v>57</v>
      </c>
      <c r="C254" t="s">
        <v>42</v>
      </c>
      <c r="D254" t="s">
        <v>19</v>
      </c>
      <c r="E254" t="s">
        <v>14</v>
      </c>
      <c r="F254" s="1">
        <v>46043</v>
      </c>
      <c r="H254">
        <v>35.6</v>
      </c>
      <c r="I254" t="b">
        <v>0</v>
      </c>
      <c r="K254" t="s">
        <v>15</v>
      </c>
    </row>
    <row r="255" spans="1:11" x14ac:dyDescent="0.25">
      <c r="A255">
        <v>254</v>
      </c>
      <c r="B255" t="s">
        <v>57</v>
      </c>
      <c r="C255" t="s">
        <v>42</v>
      </c>
      <c r="D255" t="s">
        <v>32</v>
      </c>
      <c r="E255" t="s">
        <v>31</v>
      </c>
      <c r="F255" s="1">
        <v>45826</v>
      </c>
      <c r="H255">
        <v>21.3</v>
      </c>
      <c r="I255" t="b">
        <v>0</v>
      </c>
      <c r="K255" t="s">
        <v>18</v>
      </c>
    </row>
    <row r="256" spans="1:11" x14ac:dyDescent="0.25">
      <c r="A256">
        <v>255</v>
      </c>
      <c r="B256" t="s">
        <v>57</v>
      </c>
      <c r="C256" t="s">
        <v>42</v>
      </c>
      <c r="D256" t="s">
        <v>30</v>
      </c>
      <c r="E256" t="s">
        <v>31</v>
      </c>
      <c r="F256" s="1">
        <v>45911</v>
      </c>
      <c r="H256">
        <v>19.3</v>
      </c>
      <c r="I256" t="b">
        <v>0</v>
      </c>
      <c r="K256" t="s">
        <v>15</v>
      </c>
    </row>
    <row r="257" spans="1:11" x14ac:dyDescent="0.25">
      <c r="A257">
        <v>256</v>
      </c>
      <c r="B257" t="s">
        <v>57</v>
      </c>
      <c r="C257" t="s">
        <v>42</v>
      </c>
      <c r="D257" t="s">
        <v>26</v>
      </c>
      <c r="E257" t="s">
        <v>17</v>
      </c>
      <c r="F257" s="1">
        <v>45824</v>
      </c>
      <c r="G257" s="1">
        <v>45834</v>
      </c>
      <c r="H257">
        <v>32.6</v>
      </c>
      <c r="I257" t="b">
        <v>1</v>
      </c>
      <c r="J257">
        <v>71.400000000000006</v>
      </c>
      <c r="K257" t="s">
        <v>23</v>
      </c>
    </row>
    <row r="258" spans="1:11" x14ac:dyDescent="0.25">
      <c r="A258">
        <v>257</v>
      </c>
      <c r="B258" t="s">
        <v>57</v>
      </c>
      <c r="C258" t="s">
        <v>42</v>
      </c>
      <c r="D258" t="s">
        <v>24</v>
      </c>
      <c r="E258" t="s">
        <v>25</v>
      </c>
      <c r="F258" s="1">
        <v>45794</v>
      </c>
      <c r="G258" s="1">
        <v>45828</v>
      </c>
      <c r="H258">
        <v>22.7</v>
      </c>
      <c r="I258" t="b">
        <v>1</v>
      </c>
      <c r="J258">
        <v>87.6</v>
      </c>
      <c r="K258" t="s">
        <v>23</v>
      </c>
    </row>
    <row r="259" spans="1:11" x14ac:dyDescent="0.25">
      <c r="A259">
        <v>258</v>
      </c>
      <c r="B259" t="s">
        <v>57</v>
      </c>
      <c r="C259" t="s">
        <v>42</v>
      </c>
      <c r="D259" t="s">
        <v>16</v>
      </c>
      <c r="E259" t="s">
        <v>17</v>
      </c>
      <c r="F259" s="1">
        <v>45731</v>
      </c>
      <c r="G259" s="1">
        <v>45761</v>
      </c>
      <c r="H259">
        <v>26.3</v>
      </c>
      <c r="I259" t="b">
        <v>0</v>
      </c>
      <c r="J259">
        <v>78.5</v>
      </c>
      <c r="K259" t="s">
        <v>23</v>
      </c>
    </row>
    <row r="260" spans="1:11" x14ac:dyDescent="0.25">
      <c r="A260">
        <v>259</v>
      </c>
      <c r="B260" t="s">
        <v>57</v>
      </c>
      <c r="C260" t="s">
        <v>42</v>
      </c>
      <c r="D260" t="s">
        <v>19</v>
      </c>
      <c r="E260" t="s">
        <v>14</v>
      </c>
      <c r="F260" s="1">
        <v>45893</v>
      </c>
      <c r="G260" s="1">
        <v>45935</v>
      </c>
      <c r="H260">
        <v>10.8</v>
      </c>
      <c r="I260" t="b">
        <v>1</v>
      </c>
      <c r="J260">
        <v>63.9</v>
      </c>
      <c r="K260" t="s">
        <v>23</v>
      </c>
    </row>
    <row r="261" spans="1:11" x14ac:dyDescent="0.25">
      <c r="A261">
        <v>260</v>
      </c>
      <c r="B261" t="s">
        <v>57</v>
      </c>
      <c r="C261" t="s">
        <v>42</v>
      </c>
      <c r="D261" t="s">
        <v>28</v>
      </c>
      <c r="E261" t="s">
        <v>22</v>
      </c>
      <c r="F261" s="1">
        <v>46084</v>
      </c>
      <c r="H261">
        <v>39.1</v>
      </c>
      <c r="I261" t="b">
        <v>0</v>
      </c>
      <c r="K261" t="s">
        <v>18</v>
      </c>
    </row>
    <row r="262" spans="1:11" x14ac:dyDescent="0.25">
      <c r="A262">
        <v>261</v>
      </c>
      <c r="B262" t="s">
        <v>58</v>
      </c>
      <c r="C262" t="s">
        <v>46</v>
      </c>
      <c r="D262" t="s">
        <v>29</v>
      </c>
      <c r="E262" t="s">
        <v>22</v>
      </c>
      <c r="F262" s="1">
        <v>45920</v>
      </c>
      <c r="H262">
        <v>26.8</v>
      </c>
      <c r="I262" t="b">
        <v>0</v>
      </c>
      <c r="K262" t="s">
        <v>18</v>
      </c>
    </row>
    <row r="263" spans="1:11" x14ac:dyDescent="0.25">
      <c r="A263">
        <v>262</v>
      </c>
      <c r="B263" t="s">
        <v>58</v>
      </c>
      <c r="C263" t="s">
        <v>46</v>
      </c>
      <c r="D263" t="s">
        <v>21</v>
      </c>
      <c r="E263" t="s">
        <v>22</v>
      </c>
      <c r="F263" s="1">
        <v>45718</v>
      </c>
      <c r="G263" s="1">
        <v>45740</v>
      </c>
      <c r="H263">
        <v>23.2</v>
      </c>
      <c r="I263" t="b">
        <v>1</v>
      </c>
      <c r="J263">
        <v>98.3</v>
      </c>
      <c r="K263" t="s">
        <v>23</v>
      </c>
    </row>
    <row r="264" spans="1:11" x14ac:dyDescent="0.25">
      <c r="A264">
        <v>263</v>
      </c>
      <c r="B264" t="s">
        <v>58</v>
      </c>
      <c r="C264" t="s">
        <v>46</v>
      </c>
      <c r="D264" t="s">
        <v>33</v>
      </c>
      <c r="E264" t="s">
        <v>14</v>
      </c>
      <c r="F264" s="1">
        <v>45749</v>
      </c>
      <c r="G264" s="1">
        <v>45782</v>
      </c>
      <c r="H264">
        <v>36.5</v>
      </c>
      <c r="I264" t="b">
        <v>0</v>
      </c>
      <c r="J264">
        <v>97.4</v>
      </c>
      <c r="K264" t="s">
        <v>23</v>
      </c>
    </row>
    <row r="265" spans="1:11" x14ac:dyDescent="0.25">
      <c r="A265">
        <v>264</v>
      </c>
      <c r="B265" t="s">
        <v>58</v>
      </c>
      <c r="C265" t="s">
        <v>46</v>
      </c>
      <c r="D265" t="s">
        <v>19</v>
      </c>
      <c r="E265" t="s">
        <v>14</v>
      </c>
      <c r="F265" s="1">
        <v>46068</v>
      </c>
      <c r="G265" s="1">
        <v>46077</v>
      </c>
      <c r="H265">
        <v>34</v>
      </c>
      <c r="I265" t="b">
        <v>0</v>
      </c>
      <c r="J265">
        <v>81.400000000000006</v>
      </c>
      <c r="K265" t="s">
        <v>23</v>
      </c>
    </row>
    <row r="266" spans="1:11" x14ac:dyDescent="0.25">
      <c r="A266">
        <v>265</v>
      </c>
      <c r="B266" t="s">
        <v>58</v>
      </c>
      <c r="C266" t="s">
        <v>46</v>
      </c>
      <c r="D266" t="s">
        <v>40</v>
      </c>
      <c r="E266" t="s">
        <v>31</v>
      </c>
      <c r="F266" s="1">
        <v>46050</v>
      </c>
      <c r="G266" s="1">
        <v>46077</v>
      </c>
      <c r="H266">
        <v>20</v>
      </c>
      <c r="I266" t="b">
        <v>0</v>
      </c>
      <c r="J266">
        <v>98.8</v>
      </c>
      <c r="K266" t="s">
        <v>23</v>
      </c>
    </row>
    <row r="267" spans="1:11" x14ac:dyDescent="0.25">
      <c r="A267">
        <v>266</v>
      </c>
      <c r="B267" t="s">
        <v>58</v>
      </c>
      <c r="C267" t="s">
        <v>46</v>
      </c>
      <c r="D267" t="s">
        <v>21</v>
      </c>
      <c r="E267" t="s">
        <v>22</v>
      </c>
      <c r="F267" s="1">
        <v>46014</v>
      </c>
      <c r="G267" s="1">
        <v>46026</v>
      </c>
      <c r="H267">
        <v>38.700000000000003</v>
      </c>
      <c r="I267" t="b">
        <v>0</v>
      </c>
      <c r="J267">
        <v>94.7</v>
      </c>
      <c r="K267" t="s">
        <v>23</v>
      </c>
    </row>
    <row r="268" spans="1:11" x14ac:dyDescent="0.25">
      <c r="A268">
        <v>267</v>
      </c>
      <c r="B268" t="s">
        <v>58</v>
      </c>
      <c r="C268" t="s">
        <v>46</v>
      </c>
      <c r="D268" t="s">
        <v>32</v>
      </c>
      <c r="E268" t="s">
        <v>31</v>
      </c>
      <c r="F268" s="1">
        <v>45901</v>
      </c>
      <c r="H268">
        <v>34.299999999999997</v>
      </c>
      <c r="I268" t="b">
        <v>0</v>
      </c>
      <c r="J268">
        <v>33.700000000000003</v>
      </c>
      <c r="K268" t="s">
        <v>20</v>
      </c>
    </row>
    <row r="269" spans="1:11" x14ac:dyDescent="0.25">
      <c r="A269">
        <v>268</v>
      </c>
      <c r="B269" t="s">
        <v>58</v>
      </c>
      <c r="C269" t="s">
        <v>46</v>
      </c>
      <c r="D269" t="s">
        <v>26</v>
      </c>
      <c r="E269" t="s">
        <v>17</v>
      </c>
      <c r="F269" s="1">
        <v>45793</v>
      </c>
      <c r="G269" s="1">
        <v>45819</v>
      </c>
      <c r="H269">
        <v>36.4</v>
      </c>
      <c r="I269" t="b">
        <v>1</v>
      </c>
      <c r="J269">
        <v>88.2</v>
      </c>
      <c r="K269" t="s">
        <v>23</v>
      </c>
    </row>
    <row r="270" spans="1:11" x14ac:dyDescent="0.25">
      <c r="A270">
        <v>269</v>
      </c>
      <c r="B270" t="s">
        <v>58</v>
      </c>
      <c r="C270" t="s">
        <v>46</v>
      </c>
      <c r="D270" t="s">
        <v>34</v>
      </c>
      <c r="E270" t="s">
        <v>14</v>
      </c>
      <c r="F270" s="1">
        <v>45863</v>
      </c>
      <c r="G270" s="1">
        <v>45886</v>
      </c>
      <c r="H270">
        <v>17</v>
      </c>
      <c r="I270" t="b">
        <v>1</v>
      </c>
      <c r="J270">
        <v>63.6</v>
      </c>
      <c r="K270" t="s">
        <v>23</v>
      </c>
    </row>
    <row r="271" spans="1:11" x14ac:dyDescent="0.25">
      <c r="A271">
        <v>270</v>
      </c>
      <c r="B271" t="s">
        <v>58</v>
      </c>
      <c r="C271" t="s">
        <v>46</v>
      </c>
      <c r="D271" t="s">
        <v>33</v>
      </c>
      <c r="E271" t="s">
        <v>14</v>
      </c>
      <c r="F271" s="1">
        <v>45913</v>
      </c>
      <c r="G271" s="1">
        <v>45949</v>
      </c>
      <c r="H271">
        <v>37.5</v>
      </c>
      <c r="I271" t="b">
        <v>1</v>
      </c>
      <c r="J271">
        <v>61.4</v>
      </c>
      <c r="K271" t="s">
        <v>23</v>
      </c>
    </row>
    <row r="272" spans="1:11" x14ac:dyDescent="0.25">
      <c r="A272">
        <v>271</v>
      </c>
      <c r="B272" t="s">
        <v>58</v>
      </c>
      <c r="C272" t="s">
        <v>46</v>
      </c>
      <c r="D272" t="s">
        <v>29</v>
      </c>
      <c r="E272" t="s">
        <v>22</v>
      </c>
      <c r="F272" s="1">
        <v>46045</v>
      </c>
      <c r="H272">
        <v>11.9</v>
      </c>
      <c r="I272" t="b">
        <v>0</v>
      </c>
      <c r="J272">
        <v>57.1</v>
      </c>
      <c r="K272" t="s">
        <v>20</v>
      </c>
    </row>
    <row r="273" spans="1:11" x14ac:dyDescent="0.25">
      <c r="A273">
        <v>272</v>
      </c>
      <c r="B273" t="s">
        <v>58</v>
      </c>
      <c r="C273" t="s">
        <v>46</v>
      </c>
      <c r="D273" t="s">
        <v>26</v>
      </c>
      <c r="E273" t="s">
        <v>17</v>
      </c>
      <c r="F273" s="1">
        <v>45676</v>
      </c>
      <c r="G273" s="1">
        <v>45690</v>
      </c>
      <c r="H273">
        <v>9.5</v>
      </c>
      <c r="I273" t="b">
        <v>0</v>
      </c>
      <c r="J273">
        <v>67.8</v>
      </c>
      <c r="K273" t="s">
        <v>23</v>
      </c>
    </row>
    <row r="274" spans="1:11" x14ac:dyDescent="0.25">
      <c r="A274">
        <v>273</v>
      </c>
      <c r="B274" t="s">
        <v>58</v>
      </c>
      <c r="C274" t="s">
        <v>46</v>
      </c>
      <c r="D274" t="s">
        <v>32</v>
      </c>
      <c r="E274" t="s">
        <v>31</v>
      </c>
      <c r="F274" s="1">
        <v>45821</v>
      </c>
      <c r="G274" s="1">
        <v>45862</v>
      </c>
      <c r="H274">
        <v>26.5</v>
      </c>
      <c r="I274" t="b">
        <v>0</v>
      </c>
      <c r="J274">
        <v>92</v>
      </c>
      <c r="K274" t="s">
        <v>23</v>
      </c>
    </row>
    <row r="275" spans="1:11" x14ac:dyDescent="0.25">
      <c r="A275">
        <v>274</v>
      </c>
      <c r="B275" t="s">
        <v>58</v>
      </c>
      <c r="C275" t="s">
        <v>46</v>
      </c>
      <c r="D275" t="s">
        <v>16</v>
      </c>
      <c r="E275" t="s">
        <v>17</v>
      </c>
      <c r="F275" s="1">
        <v>45951</v>
      </c>
      <c r="H275">
        <v>16.5</v>
      </c>
      <c r="I275" t="b">
        <v>0</v>
      </c>
      <c r="J275">
        <v>36.6</v>
      </c>
      <c r="K275" t="s">
        <v>20</v>
      </c>
    </row>
    <row r="276" spans="1:11" x14ac:dyDescent="0.25">
      <c r="A276">
        <v>275</v>
      </c>
      <c r="B276" t="s">
        <v>58</v>
      </c>
      <c r="C276" t="s">
        <v>46</v>
      </c>
      <c r="D276" t="s">
        <v>27</v>
      </c>
      <c r="E276" t="s">
        <v>25</v>
      </c>
      <c r="F276" s="1">
        <v>45937</v>
      </c>
      <c r="G276" s="1">
        <v>45979</v>
      </c>
      <c r="H276">
        <v>31.7</v>
      </c>
      <c r="I276" t="b">
        <v>1</v>
      </c>
      <c r="J276">
        <v>67.3</v>
      </c>
      <c r="K276" t="s">
        <v>23</v>
      </c>
    </row>
    <row r="277" spans="1:11" x14ac:dyDescent="0.25">
      <c r="A277">
        <v>276</v>
      </c>
      <c r="B277" t="s">
        <v>58</v>
      </c>
      <c r="C277" t="s">
        <v>46</v>
      </c>
      <c r="D277" t="s">
        <v>34</v>
      </c>
      <c r="E277" t="s">
        <v>14</v>
      </c>
      <c r="F277" s="1">
        <v>45741</v>
      </c>
      <c r="H277">
        <v>19.7</v>
      </c>
      <c r="I277" t="b">
        <v>0</v>
      </c>
      <c r="K277" t="s">
        <v>15</v>
      </c>
    </row>
    <row r="278" spans="1:11" x14ac:dyDescent="0.25">
      <c r="A278">
        <v>277</v>
      </c>
      <c r="B278" t="s">
        <v>58</v>
      </c>
      <c r="C278" t="s">
        <v>46</v>
      </c>
      <c r="D278" t="s">
        <v>37</v>
      </c>
      <c r="E278" t="s">
        <v>17</v>
      </c>
      <c r="F278" s="1">
        <v>46003</v>
      </c>
      <c r="G278" s="1">
        <v>46036</v>
      </c>
      <c r="H278">
        <v>37.700000000000003</v>
      </c>
      <c r="I278" t="b">
        <v>0</v>
      </c>
      <c r="J278">
        <v>64.3</v>
      </c>
      <c r="K278" t="s">
        <v>23</v>
      </c>
    </row>
    <row r="279" spans="1:11" x14ac:dyDescent="0.25">
      <c r="A279">
        <v>278</v>
      </c>
      <c r="B279" t="s">
        <v>58</v>
      </c>
      <c r="C279" t="s">
        <v>46</v>
      </c>
      <c r="D279" t="s">
        <v>27</v>
      </c>
      <c r="E279" t="s">
        <v>25</v>
      </c>
      <c r="F279" s="1">
        <v>45896</v>
      </c>
      <c r="G279" s="1">
        <v>45921</v>
      </c>
      <c r="H279">
        <v>19.7</v>
      </c>
      <c r="I279" t="b">
        <v>1</v>
      </c>
      <c r="J279">
        <v>79.5</v>
      </c>
      <c r="K279" t="s">
        <v>23</v>
      </c>
    </row>
    <row r="280" spans="1:11" x14ac:dyDescent="0.25">
      <c r="A280">
        <v>279</v>
      </c>
      <c r="B280" t="s">
        <v>58</v>
      </c>
      <c r="C280" t="s">
        <v>46</v>
      </c>
      <c r="D280" t="s">
        <v>27</v>
      </c>
      <c r="E280" t="s">
        <v>25</v>
      </c>
      <c r="F280" s="1">
        <v>46072</v>
      </c>
      <c r="G280" s="1">
        <v>46093</v>
      </c>
      <c r="H280">
        <v>25.3</v>
      </c>
      <c r="I280" t="b">
        <v>0</v>
      </c>
      <c r="J280">
        <v>85.5</v>
      </c>
      <c r="K280" t="s">
        <v>23</v>
      </c>
    </row>
    <row r="281" spans="1:11" x14ac:dyDescent="0.25">
      <c r="A281">
        <v>280</v>
      </c>
      <c r="B281" t="s">
        <v>58</v>
      </c>
      <c r="C281" t="s">
        <v>46</v>
      </c>
      <c r="D281" t="s">
        <v>33</v>
      </c>
      <c r="E281" t="s">
        <v>14</v>
      </c>
      <c r="F281" s="1">
        <v>45927</v>
      </c>
      <c r="G281" s="1">
        <v>45971</v>
      </c>
      <c r="H281">
        <v>36.299999999999997</v>
      </c>
      <c r="I281" t="b">
        <v>1</v>
      </c>
      <c r="J281">
        <v>62.4</v>
      </c>
      <c r="K281" t="s">
        <v>23</v>
      </c>
    </row>
    <row r="282" spans="1:11" x14ac:dyDescent="0.25">
      <c r="A282">
        <v>281</v>
      </c>
      <c r="B282" t="s">
        <v>59</v>
      </c>
      <c r="C282" t="s">
        <v>49</v>
      </c>
      <c r="D282" t="s">
        <v>16</v>
      </c>
      <c r="E282" t="s">
        <v>17</v>
      </c>
      <c r="F282" s="1">
        <v>45949</v>
      </c>
      <c r="G282" s="1">
        <v>45983</v>
      </c>
      <c r="H282">
        <v>27</v>
      </c>
      <c r="I282" t="b">
        <v>1</v>
      </c>
      <c r="J282">
        <v>85.2</v>
      </c>
      <c r="K282" t="s">
        <v>23</v>
      </c>
    </row>
    <row r="283" spans="1:11" x14ac:dyDescent="0.25">
      <c r="A283">
        <v>282</v>
      </c>
      <c r="B283" t="s">
        <v>59</v>
      </c>
      <c r="C283" t="s">
        <v>49</v>
      </c>
      <c r="D283" t="s">
        <v>34</v>
      </c>
      <c r="E283" t="s">
        <v>14</v>
      </c>
      <c r="F283" s="1">
        <v>45814</v>
      </c>
      <c r="H283">
        <v>38.6</v>
      </c>
      <c r="I283" t="b">
        <v>0</v>
      </c>
      <c r="K283" t="s">
        <v>15</v>
      </c>
    </row>
    <row r="284" spans="1:11" x14ac:dyDescent="0.25">
      <c r="A284">
        <v>283</v>
      </c>
      <c r="B284" t="s">
        <v>59</v>
      </c>
      <c r="C284" t="s">
        <v>49</v>
      </c>
      <c r="D284" t="s">
        <v>13</v>
      </c>
      <c r="E284" t="s">
        <v>14</v>
      </c>
      <c r="F284" s="1">
        <v>45824</v>
      </c>
      <c r="H284">
        <v>22.2</v>
      </c>
      <c r="I284" t="b">
        <v>0</v>
      </c>
      <c r="K284" t="s">
        <v>18</v>
      </c>
    </row>
    <row r="285" spans="1:11" x14ac:dyDescent="0.25">
      <c r="A285">
        <v>284</v>
      </c>
      <c r="B285" t="s">
        <v>59</v>
      </c>
      <c r="C285" t="s">
        <v>49</v>
      </c>
      <c r="D285" t="s">
        <v>47</v>
      </c>
      <c r="E285" t="s">
        <v>25</v>
      </c>
      <c r="F285" s="1">
        <v>45989</v>
      </c>
      <c r="G285" s="1">
        <v>46013</v>
      </c>
      <c r="H285">
        <v>30.8</v>
      </c>
      <c r="I285" t="b">
        <v>0</v>
      </c>
      <c r="J285">
        <v>67.900000000000006</v>
      </c>
      <c r="K285" t="s">
        <v>23</v>
      </c>
    </row>
    <row r="286" spans="1:11" x14ac:dyDescent="0.25">
      <c r="A286">
        <v>285</v>
      </c>
      <c r="B286" t="s">
        <v>59</v>
      </c>
      <c r="C286" t="s">
        <v>49</v>
      </c>
      <c r="D286" t="s">
        <v>27</v>
      </c>
      <c r="E286" t="s">
        <v>25</v>
      </c>
      <c r="F286" s="1">
        <v>45940</v>
      </c>
      <c r="H286">
        <v>13.8</v>
      </c>
      <c r="I286" t="b">
        <v>0</v>
      </c>
      <c r="K286" t="s">
        <v>18</v>
      </c>
    </row>
    <row r="287" spans="1:11" x14ac:dyDescent="0.25">
      <c r="A287">
        <v>286</v>
      </c>
      <c r="B287" t="s">
        <v>59</v>
      </c>
      <c r="C287" t="s">
        <v>49</v>
      </c>
      <c r="D287" t="s">
        <v>13</v>
      </c>
      <c r="E287" t="s">
        <v>14</v>
      </c>
      <c r="F287" s="1">
        <v>45707</v>
      </c>
      <c r="G287" s="1">
        <v>45715</v>
      </c>
      <c r="H287">
        <v>11.1</v>
      </c>
      <c r="I287" t="b">
        <v>1</v>
      </c>
      <c r="J287">
        <v>81.2</v>
      </c>
      <c r="K287" t="s">
        <v>23</v>
      </c>
    </row>
    <row r="288" spans="1:11" x14ac:dyDescent="0.25">
      <c r="A288">
        <v>287</v>
      </c>
      <c r="B288" t="s">
        <v>59</v>
      </c>
      <c r="C288" t="s">
        <v>49</v>
      </c>
      <c r="D288" t="s">
        <v>37</v>
      </c>
      <c r="E288" t="s">
        <v>17</v>
      </c>
      <c r="F288" s="1">
        <v>46055</v>
      </c>
      <c r="H288">
        <v>10.3</v>
      </c>
      <c r="I288" t="b">
        <v>0</v>
      </c>
      <c r="K288" t="s">
        <v>15</v>
      </c>
    </row>
    <row r="289" spans="1:11" x14ac:dyDescent="0.25">
      <c r="A289">
        <v>288</v>
      </c>
      <c r="B289" t="s">
        <v>59</v>
      </c>
      <c r="C289" t="s">
        <v>49</v>
      </c>
      <c r="D289" t="s">
        <v>19</v>
      </c>
      <c r="E289" t="s">
        <v>14</v>
      </c>
      <c r="F289" s="1">
        <v>45818</v>
      </c>
      <c r="G289" s="1">
        <v>45854</v>
      </c>
      <c r="H289">
        <v>13.8</v>
      </c>
      <c r="I289" t="b">
        <v>1</v>
      </c>
      <c r="J289">
        <v>65.099999999999994</v>
      </c>
      <c r="K289" t="s">
        <v>23</v>
      </c>
    </row>
    <row r="290" spans="1:11" x14ac:dyDescent="0.25">
      <c r="A290">
        <v>289</v>
      </c>
      <c r="B290" t="s">
        <v>59</v>
      </c>
      <c r="C290" t="s">
        <v>49</v>
      </c>
      <c r="D290" t="s">
        <v>24</v>
      </c>
      <c r="E290" t="s">
        <v>25</v>
      </c>
      <c r="F290" s="1">
        <v>45905</v>
      </c>
      <c r="G290" s="1">
        <v>45943</v>
      </c>
      <c r="H290">
        <v>21.3</v>
      </c>
      <c r="I290" t="b">
        <v>1</v>
      </c>
      <c r="J290">
        <v>89.9</v>
      </c>
      <c r="K290" t="s">
        <v>23</v>
      </c>
    </row>
    <row r="291" spans="1:11" x14ac:dyDescent="0.25">
      <c r="A291">
        <v>290</v>
      </c>
      <c r="B291" t="s">
        <v>59</v>
      </c>
      <c r="C291" t="s">
        <v>49</v>
      </c>
      <c r="D291" t="s">
        <v>33</v>
      </c>
      <c r="E291" t="s">
        <v>14</v>
      </c>
      <c r="F291" s="1">
        <v>46024</v>
      </c>
      <c r="H291">
        <v>12.7</v>
      </c>
      <c r="I291" t="b">
        <v>0</v>
      </c>
      <c r="K291" t="s">
        <v>18</v>
      </c>
    </row>
    <row r="292" spans="1:11" x14ac:dyDescent="0.25">
      <c r="A292">
        <v>291</v>
      </c>
      <c r="B292" t="s">
        <v>59</v>
      </c>
      <c r="C292" t="s">
        <v>49</v>
      </c>
      <c r="D292" t="s">
        <v>27</v>
      </c>
      <c r="E292" t="s">
        <v>25</v>
      </c>
      <c r="F292" s="1">
        <v>45820</v>
      </c>
      <c r="G292" s="1">
        <v>45832</v>
      </c>
      <c r="H292">
        <v>18.100000000000001</v>
      </c>
      <c r="I292" t="b">
        <v>0</v>
      </c>
      <c r="J292">
        <v>90.1</v>
      </c>
      <c r="K292" t="s">
        <v>23</v>
      </c>
    </row>
    <row r="293" spans="1:11" x14ac:dyDescent="0.25">
      <c r="A293">
        <v>292</v>
      </c>
      <c r="B293" t="s">
        <v>59</v>
      </c>
      <c r="C293" t="s">
        <v>49</v>
      </c>
      <c r="D293" t="s">
        <v>30</v>
      </c>
      <c r="E293" t="s">
        <v>31</v>
      </c>
      <c r="F293" s="1">
        <v>45799</v>
      </c>
      <c r="G293" s="1">
        <v>45811</v>
      </c>
      <c r="H293">
        <v>19.8</v>
      </c>
      <c r="I293" t="b">
        <v>1</v>
      </c>
      <c r="J293">
        <v>74.8</v>
      </c>
      <c r="K293" t="s">
        <v>23</v>
      </c>
    </row>
    <row r="294" spans="1:11" x14ac:dyDescent="0.25">
      <c r="A294">
        <v>293</v>
      </c>
      <c r="B294" t="s">
        <v>59</v>
      </c>
      <c r="C294" t="s">
        <v>49</v>
      </c>
      <c r="D294" t="s">
        <v>38</v>
      </c>
      <c r="E294" t="s">
        <v>22</v>
      </c>
      <c r="F294" s="1">
        <v>45764</v>
      </c>
      <c r="H294">
        <v>21.9</v>
      </c>
      <c r="I294" t="b">
        <v>0</v>
      </c>
      <c r="J294">
        <v>55.1</v>
      </c>
      <c r="K294" t="s">
        <v>20</v>
      </c>
    </row>
    <row r="295" spans="1:11" x14ac:dyDescent="0.25">
      <c r="A295">
        <v>294</v>
      </c>
      <c r="B295" t="s">
        <v>59</v>
      </c>
      <c r="C295" t="s">
        <v>49</v>
      </c>
      <c r="D295" t="s">
        <v>13</v>
      </c>
      <c r="E295" t="s">
        <v>14</v>
      </c>
      <c r="F295" s="1">
        <v>46107</v>
      </c>
      <c r="H295">
        <v>36.700000000000003</v>
      </c>
      <c r="I295" t="b">
        <v>0</v>
      </c>
      <c r="K295" t="s">
        <v>18</v>
      </c>
    </row>
    <row r="296" spans="1:11" x14ac:dyDescent="0.25">
      <c r="A296">
        <v>295</v>
      </c>
      <c r="B296" t="s">
        <v>59</v>
      </c>
      <c r="C296" t="s">
        <v>49</v>
      </c>
      <c r="D296" t="s">
        <v>13</v>
      </c>
      <c r="E296" t="s">
        <v>14</v>
      </c>
      <c r="F296" s="1">
        <v>46014</v>
      </c>
      <c r="G296" s="1">
        <v>46033</v>
      </c>
      <c r="H296">
        <v>4.5999999999999996</v>
      </c>
      <c r="I296" t="b">
        <v>1</v>
      </c>
      <c r="J296">
        <v>79.8</v>
      </c>
      <c r="K296" t="s">
        <v>23</v>
      </c>
    </row>
    <row r="297" spans="1:11" x14ac:dyDescent="0.25">
      <c r="A297">
        <v>296</v>
      </c>
      <c r="B297" t="s">
        <v>59</v>
      </c>
      <c r="C297" t="s">
        <v>49</v>
      </c>
      <c r="D297" t="s">
        <v>27</v>
      </c>
      <c r="E297" t="s">
        <v>25</v>
      </c>
      <c r="F297" s="1">
        <v>45841</v>
      </c>
      <c r="H297">
        <v>34.1</v>
      </c>
      <c r="I297" t="b">
        <v>0</v>
      </c>
      <c r="K297" t="s">
        <v>15</v>
      </c>
    </row>
    <row r="298" spans="1:11" x14ac:dyDescent="0.25">
      <c r="A298">
        <v>297</v>
      </c>
      <c r="B298" t="s">
        <v>59</v>
      </c>
      <c r="C298" t="s">
        <v>49</v>
      </c>
      <c r="D298" t="s">
        <v>39</v>
      </c>
      <c r="E298" t="s">
        <v>25</v>
      </c>
      <c r="F298" s="1">
        <v>45706</v>
      </c>
      <c r="H298">
        <v>34.5</v>
      </c>
      <c r="I298" t="b">
        <v>0</v>
      </c>
      <c r="K298" t="s">
        <v>18</v>
      </c>
    </row>
    <row r="299" spans="1:11" x14ac:dyDescent="0.25">
      <c r="A299">
        <v>298</v>
      </c>
      <c r="B299" t="s">
        <v>59</v>
      </c>
      <c r="C299" t="s">
        <v>49</v>
      </c>
      <c r="D299" t="s">
        <v>38</v>
      </c>
      <c r="E299" t="s">
        <v>22</v>
      </c>
      <c r="F299" s="1">
        <v>46105</v>
      </c>
      <c r="H299">
        <v>15.3</v>
      </c>
      <c r="I299" t="b">
        <v>0</v>
      </c>
      <c r="K299" t="s">
        <v>18</v>
      </c>
    </row>
    <row r="300" spans="1:11" x14ac:dyDescent="0.25">
      <c r="A300">
        <v>299</v>
      </c>
      <c r="B300" t="s">
        <v>59</v>
      </c>
      <c r="C300" t="s">
        <v>49</v>
      </c>
      <c r="D300" t="s">
        <v>37</v>
      </c>
      <c r="E300" t="s">
        <v>17</v>
      </c>
      <c r="F300" s="1">
        <v>45838</v>
      </c>
      <c r="H300">
        <v>37.799999999999997</v>
      </c>
      <c r="I300" t="b">
        <v>0</v>
      </c>
      <c r="K300" t="s">
        <v>15</v>
      </c>
    </row>
    <row r="301" spans="1:11" x14ac:dyDescent="0.25">
      <c r="A301">
        <v>300</v>
      </c>
      <c r="B301" t="s">
        <v>59</v>
      </c>
      <c r="C301" t="s">
        <v>49</v>
      </c>
      <c r="D301" t="s">
        <v>21</v>
      </c>
      <c r="E301" t="s">
        <v>22</v>
      </c>
      <c r="F301" s="1">
        <v>45813</v>
      </c>
      <c r="G301" s="1">
        <v>45857</v>
      </c>
      <c r="H301">
        <v>10.1</v>
      </c>
      <c r="I301" t="b">
        <v>0</v>
      </c>
      <c r="J301">
        <v>62.3</v>
      </c>
      <c r="K301" t="s">
        <v>23</v>
      </c>
    </row>
    <row r="302" spans="1:11" x14ac:dyDescent="0.25">
      <c r="A302">
        <v>301</v>
      </c>
      <c r="B302" t="s">
        <v>59</v>
      </c>
      <c r="C302" t="s">
        <v>49</v>
      </c>
      <c r="D302" t="s">
        <v>24</v>
      </c>
      <c r="E302" t="s">
        <v>25</v>
      </c>
      <c r="F302" s="1">
        <v>46085</v>
      </c>
      <c r="H302">
        <v>28.5</v>
      </c>
      <c r="I302" t="b">
        <v>0</v>
      </c>
      <c r="K302" t="s">
        <v>18</v>
      </c>
    </row>
    <row r="303" spans="1:11" x14ac:dyDescent="0.25">
      <c r="A303">
        <v>302</v>
      </c>
      <c r="B303" t="s">
        <v>59</v>
      </c>
      <c r="C303" t="s">
        <v>49</v>
      </c>
      <c r="D303" t="s">
        <v>24</v>
      </c>
      <c r="E303" t="s">
        <v>25</v>
      </c>
      <c r="F303" s="1">
        <v>45744</v>
      </c>
      <c r="H303">
        <v>13.5</v>
      </c>
      <c r="I303" t="b">
        <v>0</v>
      </c>
      <c r="K303" t="s">
        <v>18</v>
      </c>
    </row>
    <row r="304" spans="1:11" x14ac:dyDescent="0.25">
      <c r="A304">
        <v>303</v>
      </c>
      <c r="B304" t="s">
        <v>60</v>
      </c>
      <c r="C304" t="s">
        <v>12</v>
      </c>
      <c r="D304" t="s">
        <v>26</v>
      </c>
      <c r="E304" t="s">
        <v>17</v>
      </c>
      <c r="F304" s="1">
        <v>46004</v>
      </c>
      <c r="H304">
        <v>33.299999999999997</v>
      </c>
      <c r="I304" t="b">
        <v>0</v>
      </c>
      <c r="K304" t="s">
        <v>15</v>
      </c>
    </row>
    <row r="305" spans="1:11" x14ac:dyDescent="0.25">
      <c r="A305">
        <v>304</v>
      </c>
      <c r="B305" t="s">
        <v>60</v>
      </c>
      <c r="C305" t="s">
        <v>12</v>
      </c>
      <c r="D305" t="s">
        <v>47</v>
      </c>
      <c r="E305" t="s">
        <v>25</v>
      </c>
      <c r="F305" s="1">
        <v>46090</v>
      </c>
      <c r="H305">
        <v>13.5</v>
      </c>
      <c r="I305" t="b">
        <v>0</v>
      </c>
      <c r="J305">
        <v>42.5</v>
      </c>
      <c r="K305" t="s">
        <v>20</v>
      </c>
    </row>
    <row r="306" spans="1:11" x14ac:dyDescent="0.25">
      <c r="A306">
        <v>305</v>
      </c>
      <c r="B306" t="s">
        <v>60</v>
      </c>
      <c r="C306" t="s">
        <v>12</v>
      </c>
      <c r="D306" t="s">
        <v>34</v>
      </c>
      <c r="E306" t="s">
        <v>14</v>
      </c>
      <c r="F306" s="1">
        <v>46007</v>
      </c>
      <c r="H306">
        <v>17.600000000000001</v>
      </c>
      <c r="I306" t="b">
        <v>0</v>
      </c>
      <c r="K306" t="s">
        <v>18</v>
      </c>
    </row>
    <row r="307" spans="1:11" x14ac:dyDescent="0.25">
      <c r="A307">
        <v>306</v>
      </c>
      <c r="B307" t="s">
        <v>60</v>
      </c>
      <c r="C307" t="s">
        <v>12</v>
      </c>
      <c r="D307" t="s">
        <v>19</v>
      </c>
      <c r="E307" t="s">
        <v>14</v>
      </c>
      <c r="F307" s="1">
        <v>46036</v>
      </c>
      <c r="G307" s="1">
        <v>46049</v>
      </c>
      <c r="H307">
        <v>24.6</v>
      </c>
      <c r="I307" t="b">
        <v>1</v>
      </c>
      <c r="J307">
        <v>61.5</v>
      </c>
      <c r="K307" t="s">
        <v>23</v>
      </c>
    </row>
    <row r="308" spans="1:11" x14ac:dyDescent="0.25">
      <c r="A308">
        <v>307</v>
      </c>
      <c r="B308" t="s">
        <v>60</v>
      </c>
      <c r="C308" t="s">
        <v>12</v>
      </c>
      <c r="D308" t="s">
        <v>29</v>
      </c>
      <c r="E308" t="s">
        <v>22</v>
      </c>
      <c r="F308" s="1">
        <v>46061</v>
      </c>
      <c r="H308">
        <v>7.2</v>
      </c>
      <c r="I308" t="b">
        <v>0</v>
      </c>
      <c r="K308" t="s">
        <v>18</v>
      </c>
    </row>
    <row r="309" spans="1:11" x14ac:dyDescent="0.25">
      <c r="A309">
        <v>308</v>
      </c>
      <c r="B309" t="s">
        <v>60</v>
      </c>
      <c r="C309" t="s">
        <v>12</v>
      </c>
      <c r="D309" t="s">
        <v>44</v>
      </c>
      <c r="E309" t="s">
        <v>31</v>
      </c>
      <c r="F309" s="1">
        <v>45810</v>
      </c>
      <c r="G309" s="1">
        <v>45844</v>
      </c>
      <c r="H309">
        <v>10.8</v>
      </c>
      <c r="I309" t="b">
        <v>0</v>
      </c>
      <c r="J309">
        <v>76.400000000000006</v>
      </c>
      <c r="K309" t="s">
        <v>23</v>
      </c>
    </row>
    <row r="310" spans="1:11" x14ac:dyDescent="0.25">
      <c r="A310">
        <v>309</v>
      </c>
      <c r="B310" t="s">
        <v>60</v>
      </c>
      <c r="C310" t="s">
        <v>12</v>
      </c>
      <c r="D310" t="s">
        <v>27</v>
      </c>
      <c r="E310" t="s">
        <v>25</v>
      </c>
      <c r="F310" s="1">
        <v>45991</v>
      </c>
      <c r="H310">
        <v>28.9</v>
      </c>
      <c r="I310" t="b">
        <v>0</v>
      </c>
      <c r="K310" t="s">
        <v>15</v>
      </c>
    </row>
    <row r="311" spans="1:11" x14ac:dyDescent="0.25">
      <c r="A311">
        <v>310</v>
      </c>
      <c r="B311" t="s">
        <v>60</v>
      </c>
      <c r="C311" t="s">
        <v>12</v>
      </c>
      <c r="D311" t="s">
        <v>40</v>
      </c>
      <c r="E311" t="s">
        <v>31</v>
      </c>
      <c r="F311" s="1">
        <v>45732</v>
      </c>
      <c r="G311" s="1">
        <v>45753</v>
      </c>
      <c r="H311">
        <v>37.200000000000003</v>
      </c>
      <c r="I311" t="b">
        <v>0</v>
      </c>
      <c r="J311">
        <v>89.2</v>
      </c>
      <c r="K311" t="s">
        <v>23</v>
      </c>
    </row>
    <row r="312" spans="1:11" x14ac:dyDescent="0.25">
      <c r="A312">
        <v>311</v>
      </c>
      <c r="B312" t="s">
        <v>60</v>
      </c>
      <c r="C312" t="s">
        <v>12</v>
      </c>
      <c r="D312" t="s">
        <v>40</v>
      </c>
      <c r="E312" t="s">
        <v>31</v>
      </c>
      <c r="F312" s="1">
        <v>46094</v>
      </c>
      <c r="G312" s="1">
        <v>46102</v>
      </c>
      <c r="H312">
        <v>11.2</v>
      </c>
      <c r="I312" t="b">
        <v>0</v>
      </c>
      <c r="J312">
        <v>78.599999999999994</v>
      </c>
      <c r="K312" t="s">
        <v>23</v>
      </c>
    </row>
    <row r="313" spans="1:11" x14ac:dyDescent="0.25">
      <c r="A313">
        <v>312</v>
      </c>
      <c r="B313" t="s">
        <v>60</v>
      </c>
      <c r="C313" t="s">
        <v>12</v>
      </c>
      <c r="D313" t="s">
        <v>21</v>
      </c>
      <c r="E313" t="s">
        <v>22</v>
      </c>
      <c r="F313" s="1">
        <v>45744</v>
      </c>
      <c r="H313">
        <v>32.9</v>
      </c>
      <c r="I313" t="b">
        <v>0</v>
      </c>
      <c r="J313">
        <v>37.9</v>
      </c>
      <c r="K313" t="s">
        <v>20</v>
      </c>
    </row>
    <row r="314" spans="1:11" x14ac:dyDescent="0.25">
      <c r="A314">
        <v>313</v>
      </c>
      <c r="B314" t="s">
        <v>60</v>
      </c>
      <c r="C314" t="s">
        <v>12</v>
      </c>
      <c r="D314" t="s">
        <v>44</v>
      </c>
      <c r="E314" t="s">
        <v>31</v>
      </c>
      <c r="F314" s="1">
        <v>45782</v>
      </c>
      <c r="H314">
        <v>18.5</v>
      </c>
      <c r="I314" t="b">
        <v>0</v>
      </c>
      <c r="J314">
        <v>54.6</v>
      </c>
      <c r="K314" t="s">
        <v>20</v>
      </c>
    </row>
    <row r="315" spans="1:11" x14ac:dyDescent="0.25">
      <c r="A315">
        <v>314</v>
      </c>
      <c r="B315" t="s">
        <v>60</v>
      </c>
      <c r="C315" t="s">
        <v>12</v>
      </c>
      <c r="D315" t="s">
        <v>34</v>
      </c>
      <c r="E315" t="s">
        <v>14</v>
      </c>
      <c r="F315" s="1">
        <v>45773</v>
      </c>
      <c r="G315" s="1">
        <v>45779</v>
      </c>
      <c r="H315">
        <v>27</v>
      </c>
      <c r="I315" t="b">
        <v>1</v>
      </c>
      <c r="J315">
        <v>68.400000000000006</v>
      </c>
      <c r="K315" t="s">
        <v>23</v>
      </c>
    </row>
    <row r="316" spans="1:11" x14ac:dyDescent="0.25">
      <c r="A316">
        <v>315</v>
      </c>
      <c r="B316" t="s">
        <v>60</v>
      </c>
      <c r="C316" t="s">
        <v>12</v>
      </c>
      <c r="D316" t="s">
        <v>38</v>
      </c>
      <c r="E316" t="s">
        <v>22</v>
      </c>
      <c r="F316" s="1">
        <v>45934</v>
      </c>
      <c r="H316">
        <v>12.2</v>
      </c>
      <c r="I316" t="b">
        <v>0</v>
      </c>
      <c r="K316" t="s">
        <v>18</v>
      </c>
    </row>
    <row r="317" spans="1:11" x14ac:dyDescent="0.25">
      <c r="A317">
        <v>316</v>
      </c>
      <c r="B317" t="s">
        <v>60</v>
      </c>
      <c r="C317" t="s">
        <v>12</v>
      </c>
      <c r="D317" t="s">
        <v>47</v>
      </c>
      <c r="E317" t="s">
        <v>25</v>
      </c>
      <c r="F317" s="1">
        <v>46044</v>
      </c>
      <c r="G317" s="1">
        <v>46083</v>
      </c>
      <c r="H317">
        <v>26.3</v>
      </c>
      <c r="I317" t="b">
        <v>1</v>
      </c>
      <c r="J317">
        <v>65.099999999999994</v>
      </c>
      <c r="K317" t="s">
        <v>23</v>
      </c>
    </row>
    <row r="318" spans="1:11" x14ac:dyDescent="0.25">
      <c r="A318">
        <v>317</v>
      </c>
      <c r="B318" t="s">
        <v>60</v>
      </c>
      <c r="C318" t="s">
        <v>12</v>
      </c>
      <c r="D318" t="s">
        <v>40</v>
      </c>
      <c r="E318" t="s">
        <v>31</v>
      </c>
      <c r="F318" s="1">
        <v>45729</v>
      </c>
      <c r="H318">
        <v>19.899999999999999</v>
      </c>
      <c r="I318" t="b">
        <v>0</v>
      </c>
      <c r="K318" t="s">
        <v>15</v>
      </c>
    </row>
    <row r="319" spans="1:11" x14ac:dyDescent="0.25">
      <c r="A319">
        <v>318</v>
      </c>
      <c r="B319" t="s">
        <v>60</v>
      </c>
      <c r="C319" t="s">
        <v>12</v>
      </c>
      <c r="D319" t="s">
        <v>40</v>
      </c>
      <c r="E319" t="s">
        <v>31</v>
      </c>
      <c r="F319" s="1">
        <v>45742</v>
      </c>
      <c r="H319">
        <v>33.5</v>
      </c>
      <c r="I319" t="b">
        <v>0</v>
      </c>
      <c r="K319" t="s">
        <v>15</v>
      </c>
    </row>
    <row r="320" spans="1:11" x14ac:dyDescent="0.25">
      <c r="A320">
        <v>319</v>
      </c>
      <c r="B320" t="s">
        <v>60</v>
      </c>
      <c r="C320" t="s">
        <v>12</v>
      </c>
      <c r="D320" t="s">
        <v>32</v>
      </c>
      <c r="E320" t="s">
        <v>31</v>
      </c>
      <c r="F320" s="1">
        <v>45937</v>
      </c>
      <c r="G320" s="1">
        <v>45953</v>
      </c>
      <c r="H320">
        <v>12.6</v>
      </c>
      <c r="I320" t="b">
        <v>1</v>
      </c>
      <c r="J320">
        <v>80.2</v>
      </c>
      <c r="K320" t="s">
        <v>23</v>
      </c>
    </row>
    <row r="321" spans="1:11" x14ac:dyDescent="0.25">
      <c r="A321">
        <v>320</v>
      </c>
      <c r="B321" t="s">
        <v>60</v>
      </c>
      <c r="C321" t="s">
        <v>12</v>
      </c>
      <c r="D321" t="s">
        <v>24</v>
      </c>
      <c r="E321" t="s">
        <v>25</v>
      </c>
      <c r="F321" s="1">
        <v>46043</v>
      </c>
      <c r="H321">
        <v>36.9</v>
      </c>
      <c r="I321" t="b">
        <v>0</v>
      </c>
      <c r="K321" t="s">
        <v>18</v>
      </c>
    </row>
    <row r="322" spans="1:11" x14ac:dyDescent="0.25">
      <c r="A322">
        <v>321</v>
      </c>
      <c r="B322" t="s">
        <v>60</v>
      </c>
      <c r="C322" t="s">
        <v>12</v>
      </c>
      <c r="D322" t="s">
        <v>33</v>
      </c>
      <c r="E322" t="s">
        <v>14</v>
      </c>
      <c r="F322" s="1">
        <v>46006</v>
      </c>
      <c r="H322">
        <v>22.8</v>
      </c>
      <c r="I322" t="b">
        <v>0</v>
      </c>
      <c r="K322" t="s">
        <v>15</v>
      </c>
    </row>
    <row r="323" spans="1:11" x14ac:dyDescent="0.25">
      <c r="A323">
        <v>322</v>
      </c>
      <c r="B323" t="s">
        <v>61</v>
      </c>
      <c r="C323" t="s">
        <v>36</v>
      </c>
      <c r="D323" t="s">
        <v>44</v>
      </c>
      <c r="E323" t="s">
        <v>31</v>
      </c>
      <c r="F323" s="1">
        <v>46015</v>
      </c>
      <c r="H323">
        <v>37</v>
      </c>
      <c r="I323" t="b">
        <v>0</v>
      </c>
      <c r="K323" t="s">
        <v>15</v>
      </c>
    </row>
    <row r="324" spans="1:11" x14ac:dyDescent="0.25">
      <c r="A324">
        <v>323</v>
      </c>
      <c r="B324" t="s">
        <v>61</v>
      </c>
      <c r="C324" t="s">
        <v>36</v>
      </c>
      <c r="D324" t="s">
        <v>37</v>
      </c>
      <c r="E324" t="s">
        <v>17</v>
      </c>
      <c r="F324" s="1">
        <v>46100</v>
      </c>
      <c r="H324">
        <v>21.1</v>
      </c>
      <c r="I324" t="b">
        <v>0</v>
      </c>
      <c r="K324" t="s">
        <v>15</v>
      </c>
    </row>
    <row r="325" spans="1:11" x14ac:dyDescent="0.25">
      <c r="A325">
        <v>324</v>
      </c>
      <c r="B325" t="s">
        <v>61</v>
      </c>
      <c r="C325" t="s">
        <v>36</v>
      </c>
      <c r="D325" t="s">
        <v>29</v>
      </c>
      <c r="E325" t="s">
        <v>22</v>
      </c>
      <c r="F325" s="1">
        <v>46101</v>
      </c>
      <c r="G325" s="1">
        <v>46114</v>
      </c>
      <c r="H325">
        <v>35.5</v>
      </c>
      <c r="I325" t="b">
        <v>1</v>
      </c>
      <c r="J325">
        <v>91.5</v>
      </c>
      <c r="K325" t="s">
        <v>23</v>
      </c>
    </row>
    <row r="326" spans="1:11" x14ac:dyDescent="0.25">
      <c r="A326">
        <v>325</v>
      </c>
      <c r="B326" t="s">
        <v>61</v>
      </c>
      <c r="C326" t="s">
        <v>36</v>
      </c>
      <c r="D326" t="s">
        <v>32</v>
      </c>
      <c r="E326" t="s">
        <v>31</v>
      </c>
      <c r="F326" s="1">
        <v>45830</v>
      </c>
      <c r="H326">
        <v>14.8</v>
      </c>
      <c r="I326" t="b">
        <v>0</v>
      </c>
      <c r="K326" t="s">
        <v>18</v>
      </c>
    </row>
    <row r="327" spans="1:11" x14ac:dyDescent="0.25">
      <c r="A327">
        <v>326</v>
      </c>
      <c r="B327" t="s">
        <v>61</v>
      </c>
      <c r="C327" t="s">
        <v>36</v>
      </c>
      <c r="D327" t="s">
        <v>37</v>
      </c>
      <c r="E327" t="s">
        <v>17</v>
      </c>
      <c r="F327" s="1">
        <v>46004</v>
      </c>
      <c r="H327">
        <v>27.7</v>
      </c>
      <c r="I327" t="b">
        <v>0</v>
      </c>
      <c r="K327" t="s">
        <v>15</v>
      </c>
    </row>
    <row r="328" spans="1:11" x14ac:dyDescent="0.25">
      <c r="A328">
        <v>327</v>
      </c>
      <c r="B328" t="s">
        <v>61</v>
      </c>
      <c r="C328" t="s">
        <v>36</v>
      </c>
      <c r="D328" t="s">
        <v>38</v>
      </c>
      <c r="E328" t="s">
        <v>22</v>
      </c>
      <c r="F328" s="1">
        <v>46031</v>
      </c>
      <c r="G328" s="1">
        <v>46073</v>
      </c>
      <c r="H328">
        <v>29.6</v>
      </c>
      <c r="I328" t="b">
        <v>1</v>
      </c>
      <c r="J328">
        <v>79.8</v>
      </c>
      <c r="K328" t="s">
        <v>23</v>
      </c>
    </row>
    <row r="329" spans="1:11" x14ac:dyDescent="0.25">
      <c r="A329">
        <v>328</v>
      </c>
      <c r="B329" t="s">
        <v>61</v>
      </c>
      <c r="C329" t="s">
        <v>36</v>
      </c>
      <c r="D329" t="s">
        <v>44</v>
      </c>
      <c r="E329" t="s">
        <v>31</v>
      </c>
      <c r="F329" s="1">
        <v>45682</v>
      </c>
      <c r="H329">
        <v>5.0999999999999996</v>
      </c>
      <c r="I329" t="b">
        <v>0</v>
      </c>
      <c r="K329" t="s">
        <v>18</v>
      </c>
    </row>
    <row r="330" spans="1:11" x14ac:dyDescent="0.25">
      <c r="A330">
        <v>329</v>
      </c>
      <c r="B330" t="s">
        <v>61</v>
      </c>
      <c r="C330" t="s">
        <v>36</v>
      </c>
      <c r="D330" t="s">
        <v>38</v>
      </c>
      <c r="E330" t="s">
        <v>22</v>
      </c>
      <c r="F330" s="1">
        <v>45836</v>
      </c>
      <c r="G330" s="1">
        <v>45857</v>
      </c>
      <c r="H330">
        <v>31</v>
      </c>
      <c r="I330" t="b">
        <v>1</v>
      </c>
      <c r="J330">
        <v>94.7</v>
      </c>
      <c r="K330" t="s">
        <v>23</v>
      </c>
    </row>
    <row r="331" spans="1:11" x14ac:dyDescent="0.25">
      <c r="A331">
        <v>330</v>
      </c>
      <c r="B331" t="s">
        <v>61</v>
      </c>
      <c r="C331" t="s">
        <v>36</v>
      </c>
      <c r="D331" t="s">
        <v>37</v>
      </c>
      <c r="E331" t="s">
        <v>17</v>
      </c>
      <c r="F331" s="1">
        <v>45993</v>
      </c>
      <c r="G331" s="1">
        <v>46027</v>
      </c>
      <c r="H331">
        <v>23.1</v>
      </c>
      <c r="I331" t="b">
        <v>1</v>
      </c>
      <c r="J331">
        <v>69.8</v>
      </c>
      <c r="K331" t="s">
        <v>23</v>
      </c>
    </row>
    <row r="332" spans="1:11" x14ac:dyDescent="0.25">
      <c r="A332">
        <v>331</v>
      </c>
      <c r="B332" t="s">
        <v>61</v>
      </c>
      <c r="C332" t="s">
        <v>36</v>
      </c>
      <c r="D332" t="s">
        <v>26</v>
      </c>
      <c r="E332" t="s">
        <v>17</v>
      </c>
      <c r="F332" s="1">
        <v>45761</v>
      </c>
      <c r="H332">
        <v>29.6</v>
      </c>
      <c r="I332" t="b">
        <v>0</v>
      </c>
      <c r="J332">
        <v>51.6</v>
      </c>
      <c r="K332" t="s">
        <v>20</v>
      </c>
    </row>
    <row r="333" spans="1:11" x14ac:dyDescent="0.25">
      <c r="A333">
        <v>332</v>
      </c>
      <c r="B333" t="s">
        <v>61</v>
      </c>
      <c r="C333" t="s">
        <v>36</v>
      </c>
      <c r="D333" t="s">
        <v>40</v>
      </c>
      <c r="E333" t="s">
        <v>31</v>
      </c>
      <c r="F333" s="1">
        <v>45897</v>
      </c>
      <c r="G333" s="1">
        <v>45906</v>
      </c>
      <c r="H333">
        <v>27.1</v>
      </c>
      <c r="I333" t="b">
        <v>0</v>
      </c>
      <c r="J333">
        <v>95.5</v>
      </c>
      <c r="K333" t="s">
        <v>23</v>
      </c>
    </row>
    <row r="334" spans="1:11" x14ac:dyDescent="0.25">
      <c r="A334">
        <v>333</v>
      </c>
      <c r="B334" t="s">
        <v>61</v>
      </c>
      <c r="C334" t="s">
        <v>36</v>
      </c>
      <c r="D334" t="s">
        <v>39</v>
      </c>
      <c r="E334" t="s">
        <v>25</v>
      </c>
      <c r="F334" s="1">
        <v>46023</v>
      </c>
      <c r="H334">
        <v>9.1</v>
      </c>
      <c r="I334" t="b">
        <v>0</v>
      </c>
      <c r="K334" t="s">
        <v>15</v>
      </c>
    </row>
    <row r="335" spans="1:11" x14ac:dyDescent="0.25">
      <c r="A335">
        <v>334</v>
      </c>
      <c r="B335" t="s">
        <v>61</v>
      </c>
      <c r="C335" t="s">
        <v>36</v>
      </c>
      <c r="D335" t="s">
        <v>21</v>
      </c>
      <c r="E335" t="s">
        <v>22</v>
      </c>
      <c r="F335" s="1">
        <v>46095</v>
      </c>
      <c r="H335">
        <v>16</v>
      </c>
      <c r="I335" t="b">
        <v>0</v>
      </c>
      <c r="J335">
        <v>36.1</v>
      </c>
      <c r="K335" t="s">
        <v>20</v>
      </c>
    </row>
    <row r="336" spans="1:11" x14ac:dyDescent="0.25">
      <c r="A336">
        <v>335</v>
      </c>
      <c r="B336" t="s">
        <v>61</v>
      </c>
      <c r="C336" t="s">
        <v>36</v>
      </c>
      <c r="D336" t="s">
        <v>37</v>
      </c>
      <c r="E336" t="s">
        <v>17</v>
      </c>
      <c r="F336" s="1">
        <v>45698</v>
      </c>
      <c r="G336" s="1">
        <v>45710</v>
      </c>
      <c r="H336">
        <v>39.6</v>
      </c>
      <c r="I336" t="b">
        <v>0</v>
      </c>
      <c r="J336">
        <v>65.3</v>
      </c>
      <c r="K336" t="s">
        <v>23</v>
      </c>
    </row>
    <row r="337" spans="1:11" x14ac:dyDescent="0.25">
      <c r="A337">
        <v>336</v>
      </c>
      <c r="B337" t="s">
        <v>61</v>
      </c>
      <c r="C337" t="s">
        <v>36</v>
      </c>
      <c r="D337" t="s">
        <v>32</v>
      </c>
      <c r="E337" t="s">
        <v>31</v>
      </c>
      <c r="F337" s="1">
        <v>46030</v>
      </c>
      <c r="H337">
        <v>26.7</v>
      </c>
      <c r="I337" t="b">
        <v>0</v>
      </c>
      <c r="K337" t="s">
        <v>18</v>
      </c>
    </row>
    <row r="338" spans="1:11" x14ac:dyDescent="0.25">
      <c r="A338">
        <v>337</v>
      </c>
      <c r="B338" t="s">
        <v>61</v>
      </c>
      <c r="C338" t="s">
        <v>36</v>
      </c>
      <c r="D338" t="s">
        <v>27</v>
      </c>
      <c r="E338" t="s">
        <v>25</v>
      </c>
      <c r="F338" s="1">
        <v>46054</v>
      </c>
      <c r="G338" s="1">
        <v>46071</v>
      </c>
      <c r="H338">
        <v>29.7</v>
      </c>
      <c r="I338" t="b">
        <v>1</v>
      </c>
      <c r="J338">
        <v>73.8</v>
      </c>
      <c r="K338" t="s">
        <v>23</v>
      </c>
    </row>
    <row r="339" spans="1:11" x14ac:dyDescent="0.25">
      <c r="A339">
        <v>338</v>
      </c>
      <c r="B339" t="s">
        <v>61</v>
      </c>
      <c r="C339" t="s">
        <v>36</v>
      </c>
      <c r="D339" t="s">
        <v>33</v>
      </c>
      <c r="E339" t="s">
        <v>14</v>
      </c>
      <c r="F339" s="1">
        <v>45868</v>
      </c>
      <c r="H339">
        <v>13.4</v>
      </c>
      <c r="I339" t="b">
        <v>0</v>
      </c>
      <c r="K339" t="s">
        <v>18</v>
      </c>
    </row>
    <row r="340" spans="1:11" x14ac:dyDescent="0.25">
      <c r="A340">
        <v>339</v>
      </c>
      <c r="B340" t="s">
        <v>61</v>
      </c>
      <c r="C340" t="s">
        <v>36</v>
      </c>
      <c r="D340" t="s">
        <v>44</v>
      </c>
      <c r="E340" t="s">
        <v>31</v>
      </c>
      <c r="F340" s="1">
        <v>45727</v>
      </c>
      <c r="H340">
        <v>15.9</v>
      </c>
      <c r="I340" t="b">
        <v>0</v>
      </c>
      <c r="K340" t="s">
        <v>18</v>
      </c>
    </row>
    <row r="341" spans="1:11" x14ac:dyDescent="0.25">
      <c r="A341">
        <v>340</v>
      </c>
      <c r="B341" t="s">
        <v>61</v>
      </c>
      <c r="C341" t="s">
        <v>36</v>
      </c>
      <c r="D341" t="s">
        <v>38</v>
      </c>
      <c r="E341" t="s">
        <v>22</v>
      </c>
      <c r="F341" s="1">
        <v>45966</v>
      </c>
      <c r="G341" s="1">
        <v>45996</v>
      </c>
      <c r="H341">
        <v>31.5</v>
      </c>
      <c r="I341" t="b">
        <v>1</v>
      </c>
      <c r="J341">
        <v>68.7</v>
      </c>
      <c r="K341" t="s">
        <v>23</v>
      </c>
    </row>
    <row r="342" spans="1:11" x14ac:dyDescent="0.25">
      <c r="A342">
        <v>341</v>
      </c>
      <c r="B342" t="s">
        <v>61</v>
      </c>
      <c r="C342" t="s">
        <v>36</v>
      </c>
      <c r="D342" t="s">
        <v>43</v>
      </c>
      <c r="E342" t="s">
        <v>17</v>
      </c>
      <c r="F342" s="1">
        <v>45968</v>
      </c>
      <c r="G342" s="1">
        <v>45999</v>
      </c>
      <c r="H342">
        <v>24.5</v>
      </c>
      <c r="I342" t="b">
        <v>1</v>
      </c>
      <c r="J342">
        <v>82.2</v>
      </c>
      <c r="K342" t="s">
        <v>23</v>
      </c>
    </row>
    <row r="343" spans="1:11" x14ac:dyDescent="0.25">
      <c r="A343">
        <v>342</v>
      </c>
      <c r="B343" t="s">
        <v>61</v>
      </c>
      <c r="C343" t="s">
        <v>36</v>
      </c>
      <c r="D343" t="s">
        <v>43</v>
      </c>
      <c r="E343" t="s">
        <v>17</v>
      </c>
      <c r="F343" s="1">
        <v>45937</v>
      </c>
      <c r="H343">
        <v>8.9</v>
      </c>
      <c r="I343" t="b">
        <v>0</v>
      </c>
      <c r="K343" t="s">
        <v>15</v>
      </c>
    </row>
    <row r="344" spans="1:11" x14ac:dyDescent="0.25">
      <c r="A344">
        <v>343</v>
      </c>
      <c r="B344" t="s">
        <v>61</v>
      </c>
      <c r="C344" t="s">
        <v>36</v>
      </c>
      <c r="D344" t="s">
        <v>34</v>
      </c>
      <c r="E344" t="s">
        <v>14</v>
      </c>
      <c r="F344" s="1">
        <v>45970</v>
      </c>
      <c r="H344">
        <v>6.7</v>
      </c>
      <c r="I344" t="b">
        <v>0</v>
      </c>
      <c r="K344" t="s">
        <v>15</v>
      </c>
    </row>
    <row r="345" spans="1:11" x14ac:dyDescent="0.25">
      <c r="A345">
        <v>344</v>
      </c>
      <c r="B345" t="s">
        <v>62</v>
      </c>
      <c r="C345" t="s">
        <v>42</v>
      </c>
      <c r="D345" t="s">
        <v>34</v>
      </c>
      <c r="E345" t="s">
        <v>14</v>
      </c>
      <c r="F345" s="1">
        <v>45681</v>
      </c>
      <c r="G345" s="1">
        <v>45702</v>
      </c>
      <c r="H345">
        <v>12</v>
      </c>
      <c r="I345" t="b">
        <v>1</v>
      </c>
      <c r="J345">
        <v>89.7</v>
      </c>
      <c r="K345" t="s">
        <v>23</v>
      </c>
    </row>
    <row r="346" spans="1:11" x14ac:dyDescent="0.25">
      <c r="A346">
        <v>345</v>
      </c>
      <c r="B346" t="s">
        <v>62</v>
      </c>
      <c r="C346" t="s">
        <v>42</v>
      </c>
      <c r="D346" t="s">
        <v>33</v>
      </c>
      <c r="E346" t="s">
        <v>14</v>
      </c>
      <c r="F346" s="1">
        <v>46038</v>
      </c>
      <c r="G346" s="1">
        <v>46076</v>
      </c>
      <c r="H346">
        <v>31.4</v>
      </c>
      <c r="I346" t="b">
        <v>1</v>
      </c>
      <c r="J346">
        <v>80</v>
      </c>
      <c r="K346" t="s">
        <v>23</v>
      </c>
    </row>
    <row r="347" spans="1:11" x14ac:dyDescent="0.25">
      <c r="A347">
        <v>346</v>
      </c>
      <c r="B347" t="s">
        <v>62</v>
      </c>
      <c r="C347" t="s">
        <v>42</v>
      </c>
      <c r="D347" t="s">
        <v>32</v>
      </c>
      <c r="E347" t="s">
        <v>31</v>
      </c>
      <c r="F347" s="1">
        <v>45982</v>
      </c>
      <c r="G347" s="1">
        <v>46024</v>
      </c>
      <c r="H347">
        <v>23</v>
      </c>
      <c r="I347" t="b">
        <v>1</v>
      </c>
      <c r="J347">
        <v>89.5</v>
      </c>
      <c r="K347" t="s">
        <v>23</v>
      </c>
    </row>
    <row r="348" spans="1:11" x14ac:dyDescent="0.25">
      <c r="A348">
        <v>347</v>
      </c>
      <c r="B348" t="s">
        <v>62</v>
      </c>
      <c r="C348" t="s">
        <v>42</v>
      </c>
      <c r="D348" t="s">
        <v>30</v>
      </c>
      <c r="E348" t="s">
        <v>31</v>
      </c>
      <c r="F348" s="1">
        <v>45842</v>
      </c>
      <c r="G348" s="1">
        <v>45867</v>
      </c>
      <c r="H348">
        <v>37.200000000000003</v>
      </c>
      <c r="I348" t="b">
        <v>1</v>
      </c>
      <c r="J348">
        <v>78.7</v>
      </c>
      <c r="K348" t="s">
        <v>23</v>
      </c>
    </row>
    <row r="349" spans="1:11" x14ac:dyDescent="0.25">
      <c r="A349">
        <v>348</v>
      </c>
      <c r="B349" t="s">
        <v>62</v>
      </c>
      <c r="C349" t="s">
        <v>42</v>
      </c>
      <c r="D349" t="s">
        <v>26</v>
      </c>
      <c r="E349" t="s">
        <v>17</v>
      </c>
      <c r="F349" s="1">
        <v>45888</v>
      </c>
      <c r="G349" s="1">
        <v>45911</v>
      </c>
      <c r="H349">
        <v>11.8</v>
      </c>
      <c r="I349" t="b">
        <v>0</v>
      </c>
      <c r="J349">
        <v>60</v>
      </c>
      <c r="K349" t="s">
        <v>23</v>
      </c>
    </row>
    <row r="350" spans="1:11" x14ac:dyDescent="0.25">
      <c r="A350">
        <v>349</v>
      </c>
      <c r="B350" t="s">
        <v>62</v>
      </c>
      <c r="C350" t="s">
        <v>42</v>
      </c>
      <c r="D350" t="s">
        <v>34</v>
      </c>
      <c r="E350" t="s">
        <v>14</v>
      </c>
      <c r="F350" s="1">
        <v>45822</v>
      </c>
      <c r="H350">
        <v>5.2</v>
      </c>
      <c r="I350" t="b">
        <v>0</v>
      </c>
      <c r="K350" t="s">
        <v>15</v>
      </c>
    </row>
    <row r="351" spans="1:11" x14ac:dyDescent="0.25">
      <c r="A351">
        <v>350</v>
      </c>
      <c r="B351" t="s">
        <v>62</v>
      </c>
      <c r="C351" t="s">
        <v>42</v>
      </c>
      <c r="D351" t="s">
        <v>28</v>
      </c>
      <c r="E351" t="s">
        <v>22</v>
      </c>
      <c r="F351" s="1">
        <v>46096</v>
      </c>
      <c r="H351">
        <v>10</v>
      </c>
      <c r="I351" t="b">
        <v>0</v>
      </c>
      <c r="J351">
        <v>39.5</v>
      </c>
      <c r="K351" t="s">
        <v>20</v>
      </c>
    </row>
    <row r="352" spans="1:11" x14ac:dyDescent="0.25">
      <c r="A352">
        <v>351</v>
      </c>
      <c r="B352" t="s">
        <v>62</v>
      </c>
      <c r="C352" t="s">
        <v>42</v>
      </c>
      <c r="D352" t="s">
        <v>28</v>
      </c>
      <c r="E352" t="s">
        <v>22</v>
      </c>
      <c r="F352" s="1">
        <v>45796</v>
      </c>
      <c r="H352">
        <v>12.3</v>
      </c>
      <c r="I352" t="b">
        <v>0</v>
      </c>
      <c r="K352" t="s">
        <v>18</v>
      </c>
    </row>
    <row r="353" spans="1:11" x14ac:dyDescent="0.25">
      <c r="A353">
        <v>352</v>
      </c>
      <c r="B353" t="s">
        <v>62</v>
      </c>
      <c r="C353" t="s">
        <v>42</v>
      </c>
      <c r="D353" t="s">
        <v>38</v>
      </c>
      <c r="E353" t="s">
        <v>22</v>
      </c>
      <c r="F353" s="1">
        <v>46083</v>
      </c>
      <c r="H353">
        <v>34.6</v>
      </c>
      <c r="I353" t="b">
        <v>0</v>
      </c>
      <c r="K353" t="s">
        <v>18</v>
      </c>
    </row>
    <row r="354" spans="1:11" x14ac:dyDescent="0.25">
      <c r="A354">
        <v>353</v>
      </c>
      <c r="B354" t="s">
        <v>62</v>
      </c>
      <c r="C354" t="s">
        <v>42</v>
      </c>
      <c r="D354" t="s">
        <v>38</v>
      </c>
      <c r="E354" t="s">
        <v>22</v>
      </c>
      <c r="F354" s="1">
        <v>46021</v>
      </c>
      <c r="G354" s="1">
        <v>46034</v>
      </c>
      <c r="H354">
        <v>13</v>
      </c>
      <c r="I354" t="b">
        <v>1</v>
      </c>
      <c r="J354">
        <v>83.3</v>
      </c>
      <c r="K354" t="s">
        <v>23</v>
      </c>
    </row>
    <row r="355" spans="1:11" x14ac:dyDescent="0.25">
      <c r="A355">
        <v>354</v>
      </c>
      <c r="B355" t="s">
        <v>62</v>
      </c>
      <c r="C355" t="s">
        <v>42</v>
      </c>
      <c r="D355" t="s">
        <v>19</v>
      </c>
      <c r="E355" t="s">
        <v>14</v>
      </c>
      <c r="F355" s="1">
        <v>45661</v>
      </c>
      <c r="G355" s="1">
        <v>45705</v>
      </c>
      <c r="H355">
        <v>27</v>
      </c>
      <c r="I355" t="b">
        <v>1</v>
      </c>
      <c r="J355">
        <v>97.3</v>
      </c>
      <c r="K355" t="s">
        <v>23</v>
      </c>
    </row>
    <row r="356" spans="1:11" x14ac:dyDescent="0.25">
      <c r="A356">
        <v>355</v>
      </c>
      <c r="B356" t="s">
        <v>62</v>
      </c>
      <c r="C356" t="s">
        <v>42</v>
      </c>
      <c r="D356" t="s">
        <v>29</v>
      </c>
      <c r="E356" t="s">
        <v>22</v>
      </c>
      <c r="F356" s="1">
        <v>45828</v>
      </c>
      <c r="H356">
        <v>14.9</v>
      </c>
      <c r="I356" t="b">
        <v>0</v>
      </c>
      <c r="K356" t="s">
        <v>18</v>
      </c>
    </row>
    <row r="357" spans="1:11" x14ac:dyDescent="0.25">
      <c r="A357">
        <v>356</v>
      </c>
      <c r="B357" t="s">
        <v>62</v>
      </c>
      <c r="C357" t="s">
        <v>42</v>
      </c>
      <c r="D357" t="s">
        <v>43</v>
      </c>
      <c r="E357" t="s">
        <v>17</v>
      </c>
      <c r="F357" s="1">
        <v>45766</v>
      </c>
      <c r="H357">
        <v>36.6</v>
      </c>
      <c r="I357" t="b">
        <v>0</v>
      </c>
      <c r="J357">
        <v>37.799999999999997</v>
      </c>
      <c r="K357" t="s">
        <v>20</v>
      </c>
    </row>
    <row r="358" spans="1:11" x14ac:dyDescent="0.25">
      <c r="A358">
        <v>357</v>
      </c>
      <c r="B358" t="s">
        <v>62</v>
      </c>
      <c r="C358" t="s">
        <v>42</v>
      </c>
      <c r="D358" t="s">
        <v>44</v>
      </c>
      <c r="E358" t="s">
        <v>31</v>
      </c>
      <c r="F358" s="1">
        <v>45944</v>
      </c>
      <c r="H358">
        <v>22.2</v>
      </c>
      <c r="I358" t="b">
        <v>0</v>
      </c>
      <c r="K358" t="s">
        <v>15</v>
      </c>
    </row>
    <row r="359" spans="1:11" x14ac:dyDescent="0.25">
      <c r="A359">
        <v>358</v>
      </c>
      <c r="B359" t="s">
        <v>62</v>
      </c>
      <c r="C359" t="s">
        <v>42</v>
      </c>
      <c r="D359" t="s">
        <v>24</v>
      </c>
      <c r="E359" t="s">
        <v>25</v>
      </c>
      <c r="F359" s="1">
        <v>45843</v>
      </c>
      <c r="H359">
        <v>16</v>
      </c>
      <c r="I359" t="b">
        <v>0</v>
      </c>
      <c r="K359" t="s">
        <v>15</v>
      </c>
    </row>
    <row r="360" spans="1:11" x14ac:dyDescent="0.25">
      <c r="A360">
        <v>359</v>
      </c>
      <c r="B360" t="s">
        <v>62</v>
      </c>
      <c r="C360" t="s">
        <v>42</v>
      </c>
      <c r="D360" t="s">
        <v>27</v>
      </c>
      <c r="E360" t="s">
        <v>25</v>
      </c>
      <c r="F360" s="1">
        <v>45895</v>
      </c>
      <c r="G360" s="1">
        <v>45905</v>
      </c>
      <c r="H360">
        <v>34.6</v>
      </c>
      <c r="I360" t="b">
        <v>1</v>
      </c>
      <c r="J360">
        <v>69.099999999999994</v>
      </c>
      <c r="K360" t="s">
        <v>23</v>
      </c>
    </row>
    <row r="361" spans="1:11" x14ac:dyDescent="0.25">
      <c r="A361">
        <v>360</v>
      </c>
      <c r="B361" t="s">
        <v>62</v>
      </c>
      <c r="C361" t="s">
        <v>42</v>
      </c>
      <c r="D361" t="s">
        <v>40</v>
      </c>
      <c r="E361" t="s">
        <v>31</v>
      </c>
      <c r="F361" s="1">
        <v>46101</v>
      </c>
      <c r="G361" s="1">
        <v>46128</v>
      </c>
      <c r="H361">
        <v>15.4</v>
      </c>
      <c r="I361" t="b">
        <v>0</v>
      </c>
      <c r="J361">
        <v>86.2</v>
      </c>
      <c r="K361" t="s">
        <v>23</v>
      </c>
    </row>
    <row r="362" spans="1:11" x14ac:dyDescent="0.25">
      <c r="A362">
        <v>361</v>
      </c>
      <c r="B362" t="s">
        <v>62</v>
      </c>
      <c r="C362" t="s">
        <v>42</v>
      </c>
      <c r="D362" t="s">
        <v>43</v>
      </c>
      <c r="E362" t="s">
        <v>17</v>
      </c>
      <c r="F362" s="1">
        <v>45967</v>
      </c>
      <c r="G362" s="1">
        <v>45974</v>
      </c>
      <c r="H362">
        <v>24.9</v>
      </c>
      <c r="I362" t="b">
        <v>0</v>
      </c>
      <c r="J362">
        <v>94</v>
      </c>
      <c r="K362" t="s">
        <v>23</v>
      </c>
    </row>
    <row r="363" spans="1:11" x14ac:dyDescent="0.25">
      <c r="A363">
        <v>362</v>
      </c>
      <c r="B363" t="s">
        <v>62</v>
      </c>
      <c r="C363" t="s">
        <v>42</v>
      </c>
      <c r="D363" t="s">
        <v>30</v>
      </c>
      <c r="E363" t="s">
        <v>31</v>
      </c>
      <c r="F363" s="1">
        <v>45891</v>
      </c>
      <c r="G363" s="1">
        <v>45920</v>
      </c>
      <c r="H363">
        <v>19.899999999999999</v>
      </c>
      <c r="I363" t="b">
        <v>0</v>
      </c>
      <c r="J363">
        <v>92.1</v>
      </c>
      <c r="K363" t="s">
        <v>23</v>
      </c>
    </row>
    <row r="364" spans="1:11" x14ac:dyDescent="0.25">
      <c r="A364">
        <v>363</v>
      </c>
      <c r="B364" t="s">
        <v>62</v>
      </c>
      <c r="C364" t="s">
        <v>42</v>
      </c>
      <c r="D364" t="s">
        <v>19</v>
      </c>
      <c r="E364" t="s">
        <v>14</v>
      </c>
      <c r="F364" s="1">
        <v>45714</v>
      </c>
      <c r="G364" s="1">
        <v>45719</v>
      </c>
      <c r="H364">
        <v>36.5</v>
      </c>
      <c r="I364" t="b">
        <v>1</v>
      </c>
      <c r="J364">
        <v>66</v>
      </c>
      <c r="K364" t="s">
        <v>23</v>
      </c>
    </row>
    <row r="365" spans="1:11" x14ac:dyDescent="0.25">
      <c r="A365">
        <v>364</v>
      </c>
      <c r="B365" t="s">
        <v>62</v>
      </c>
      <c r="C365" t="s">
        <v>42</v>
      </c>
      <c r="D365" t="s">
        <v>37</v>
      </c>
      <c r="E365" t="s">
        <v>17</v>
      </c>
      <c r="F365" s="1">
        <v>46021</v>
      </c>
      <c r="H365">
        <v>25.6</v>
      </c>
      <c r="I365" t="b">
        <v>0</v>
      </c>
      <c r="K365" t="s">
        <v>15</v>
      </c>
    </row>
    <row r="366" spans="1:11" x14ac:dyDescent="0.25">
      <c r="A366">
        <v>365</v>
      </c>
      <c r="B366" t="s">
        <v>62</v>
      </c>
      <c r="C366" t="s">
        <v>42</v>
      </c>
      <c r="D366" t="s">
        <v>26</v>
      </c>
      <c r="E366" t="s">
        <v>17</v>
      </c>
      <c r="F366" s="1">
        <v>46050</v>
      </c>
      <c r="G366" s="1">
        <v>46074</v>
      </c>
      <c r="H366">
        <v>21.2</v>
      </c>
      <c r="I366" t="b">
        <v>1</v>
      </c>
      <c r="J366">
        <v>69</v>
      </c>
      <c r="K366" t="s">
        <v>23</v>
      </c>
    </row>
    <row r="367" spans="1:11" x14ac:dyDescent="0.25">
      <c r="A367">
        <v>366</v>
      </c>
      <c r="B367" t="s">
        <v>63</v>
      </c>
      <c r="C367" t="s">
        <v>46</v>
      </c>
      <c r="D367" t="s">
        <v>30</v>
      </c>
      <c r="E367" t="s">
        <v>31</v>
      </c>
      <c r="F367" s="1">
        <v>45816</v>
      </c>
      <c r="G367" s="1">
        <v>45840</v>
      </c>
      <c r="H367">
        <v>19.8</v>
      </c>
      <c r="I367" t="b">
        <v>1</v>
      </c>
      <c r="J367">
        <v>84.4</v>
      </c>
      <c r="K367" t="s">
        <v>23</v>
      </c>
    </row>
    <row r="368" spans="1:11" x14ac:dyDescent="0.25">
      <c r="A368">
        <v>367</v>
      </c>
      <c r="B368" t="s">
        <v>63</v>
      </c>
      <c r="C368" t="s">
        <v>46</v>
      </c>
      <c r="D368" t="s">
        <v>13</v>
      </c>
      <c r="E368" t="s">
        <v>14</v>
      </c>
      <c r="F368" s="1">
        <v>46007</v>
      </c>
      <c r="H368">
        <v>7.7</v>
      </c>
      <c r="I368" t="b">
        <v>0</v>
      </c>
      <c r="K368" t="s">
        <v>15</v>
      </c>
    </row>
    <row r="369" spans="1:11" x14ac:dyDescent="0.25">
      <c r="A369">
        <v>368</v>
      </c>
      <c r="B369" t="s">
        <v>63</v>
      </c>
      <c r="C369" t="s">
        <v>46</v>
      </c>
      <c r="D369" t="s">
        <v>26</v>
      </c>
      <c r="E369" t="s">
        <v>17</v>
      </c>
      <c r="F369" s="1">
        <v>45871</v>
      </c>
      <c r="G369" s="1">
        <v>45900</v>
      </c>
      <c r="H369">
        <v>5.5</v>
      </c>
      <c r="I369" t="b">
        <v>0</v>
      </c>
      <c r="J369">
        <v>78.2</v>
      </c>
      <c r="K369" t="s">
        <v>23</v>
      </c>
    </row>
    <row r="370" spans="1:11" x14ac:dyDescent="0.25">
      <c r="A370">
        <v>369</v>
      </c>
      <c r="B370" t="s">
        <v>63</v>
      </c>
      <c r="C370" t="s">
        <v>46</v>
      </c>
      <c r="D370" t="s">
        <v>33</v>
      </c>
      <c r="E370" t="s">
        <v>14</v>
      </c>
      <c r="F370" s="1">
        <v>45844</v>
      </c>
      <c r="H370">
        <v>37.299999999999997</v>
      </c>
      <c r="I370" t="b">
        <v>0</v>
      </c>
      <c r="K370" t="s">
        <v>18</v>
      </c>
    </row>
    <row r="371" spans="1:11" x14ac:dyDescent="0.25">
      <c r="A371">
        <v>370</v>
      </c>
      <c r="B371" t="s">
        <v>63</v>
      </c>
      <c r="C371" t="s">
        <v>46</v>
      </c>
      <c r="D371" t="s">
        <v>44</v>
      </c>
      <c r="E371" t="s">
        <v>31</v>
      </c>
      <c r="F371" s="1">
        <v>45748</v>
      </c>
      <c r="G371" s="1">
        <v>45777</v>
      </c>
      <c r="H371">
        <v>37.299999999999997</v>
      </c>
      <c r="I371" t="b">
        <v>1</v>
      </c>
      <c r="J371">
        <v>60.5</v>
      </c>
      <c r="K371" t="s">
        <v>23</v>
      </c>
    </row>
    <row r="372" spans="1:11" x14ac:dyDescent="0.25">
      <c r="A372">
        <v>371</v>
      </c>
      <c r="B372" t="s">
        <v>63</v>
      </c>
      <c r="C372" t="s">
        <v>46</v>
      </c>
      <c r="D372" t="s">
        <v>26</v>
      </c>
      <c r="E372" t="s">
        <v>17</v>
      </c>
      <c r="F372" s="1">
        <v>46001</v>
      </c>
      <c r="H372">
        <v>38.9</v>
      </c>
      <c r="I372" t="b">
        <v>0</v>
      </c>
      <c r="J372">
        <v>32.299999999999997</v>
      </c>
      <c r="K372" t="s">
        <v>20</v>
      </c>
    </row>
    <row r="373" spans="1:11" x14ac:dyDescent="0.25">
      <c r="A373">
        <v>372</v>
      </c>
      <c r="B373" t="s">
        <v>63</v>
      </c>
      <c r="C373" t="s">
        <v>46</v>
      </c>
      <c r="D373" t="s">
        <v>37</v>
      </c>
      <c r="E373" t="s">
        <v>17</v>
      </c>
      <c r="F373" s="1">
        <v>46040</v>
      </c>
      <c r="H373">
        <v>19</v>
      </c>
      <c r="I373" t="b">
        <v>0</v>
      </c>
      <c r="K373" t="s">
        <v>15</v>
      </c>
    </row>
    <row r="374" spans="1:11" x14ac:dyDescent="0.25">
      <c r="A374">
        <v>373</v>
      </c>
      <c r="B374" t="s">
        <v>63</v>
      </c>
      <c r="C374" t="s">
        <v>46</v>
      </c>
      <c r="D374" t="s">
        <v>13</v>
      </c>
      <c r="E374" t="s">
        <v>14</v>
      </c>
      <c r="F374" s="1">
        <v>45915</v>
      </c>
      <c r="H374">
        <v>6.7</v>
      </c>
      <c r="I374" t="b">
        <v>0</v>
      </c>
      <c r="K374" t="s">
        <v>15</v>
      </c>
    </row>
    <row r="375" spans="1:11" x14ac:dyDescent="0.25">
      <c r="A375">
        <v>374</v>
      </c>
      <c r="B375" t="s">
        <v>63</v>
      </c>
      <c r="C375" t="s">
        <v>46</v>
      </c>
      <c r="D375" t="s">
        <v>32</v>
      </c>
      <c r="E375" t="s">
        <v>31</v>
      </c>
      <c r="F375" s="1">
        <v>45986</v>
      </c>
      <c r="G375" s="1">
        <v>45998</v>
      </c>
      <c r="H375">
        <v>22.4</v>
      </c>
      <c r="I375" t="b">
        <v>1</v>
      </c>
      <c r="J375">
        <v>98.8</v>
      </c>
      <c r="K375" t="s">
        <v>23</v>
      </c>
    </row>
    <row r="376" spans="1:11" x14ac:dyDescent="0.25">
      <c r="A376">
        <v>375</v>
      </c>
      <c r="B376" t="s">
        <v>63</v>
      </c>
      <c r="C376" t="s">
        <v>46</v>
      </c>
      <c r="D376" t="s">
        <v>37</v>
      </c>
      <c r="E376" t="s">
        <v>17</v>
      </c>
      <c r="F376" s="1">
        <v>45987</v>
      </c>
      <c r="G376" s="1">
        <v>45992</v>
      </c>
      <c r="H376">
        <v>11.9</v>
      </c>
      <c r="I376" t="b">
        <v>1</v>
      </c>
      <c r="J376">
        <v>97.7</v>
      </c>
      <c r="K376" t="s">
        <v>23</v>
      </c>
    </row>
    <row r="377" spans="1:11" x14ac:dyDescent="0.25">
      <c r="A377">
        <v>376</v>
      </c>
      <c r="B377" t="s">
        <v>63</v>
      </c>
      <c r="C377" t="s">
        <v>46</v>
      </c>
      <c r="D377" t="s">
        <v>28</v>
      </c>
      <c r="E377" t="s">
        <v>22</v>
      </c>
      <c r="F377" s="1">
        <v>45988</v>
      </c>
      <c r="H377">
        <v>17.600000000000001</v>
      </c>
      <c r="I377" t="b">
        <v>0</v>
      </c>
      <c r="K377" t="s">
        <v>18</v>
      </c>
    </row>
    <row r="378" spans="1:11" x14ac:dyDescent="0.25">
      <c r="A378">
        <v>377</v>
      </c>
      <c r="B378" t="s">
        <v>63</v>
      </c>
      <c r="C378" t="s">
        <v>46</v>
      </c>
      <c r="D378" t="s">
        <v>29</v>
      </c>
      <c r="E378" t="s">
        <v>22</v>
      </c>
      <c r="F378" s="1">
        <v>46041</v>
      </c>
      <c r="H378">
        <v>37.4</v>
      </c>
      <c r="I378" t="b">
        <v>0</v>
      </c>
      <c r="K378" t="s">
        <v>15</v>
      </c>
    </row>
    <row r="379" spans="1:11" x14ac:dyDescent="0.25">
      <c r="A379">
        <v>378</v>
      </c>
      <c r="B379" t="s">
        <v>63</v>
      </c>
      <c r="C379" t="s">
        <v>46</v>
      </c>
      <c r="D379" t="s">
        <v>29</v>
      </c>
      <c r="E379" t="s">
        <v>22</v>
      </c>
      <c r="F379" s="1">
        <v>45774</v>
      </c>
      <c r="H379">
        <v>9.4</v>
      </c>
      <c r="I379" t="b">
        <v>0</v>
      </c>
      <c r="J379">
        <v>49.6</v>
      </c>
      <c r="K379" t="s">
        <v>20</v>
      </c>
    </row>
    <row r="380" spans="1:11" x14ac:dyDescent="0.25">
      <c r="A380">
        <v>379</v>
      </c>
      <c r="B380" t="s">
        <v>63</v>
      </c>
      <c r="C380" t="s">
        <v>46</v>
      </c>
      <c r="D380" t="s">
        <v>19</v>
      </c>
      <c r="E380" t="s">
        <v>14</v>
      </c>
      <c r="F380" s="1">
        <v>45810</v>
      </c>
      <c r="G380" s="1">
        <v>45827</v>
      </c>
      <c r="H380">
        <v>31.1</v>
      </c>
      <c r="I380" t="b">
        <v>1</v>
      </c>
      <c r="J380">
        <v>73.400000000000006</v>
      </c>
      <c r="K380" t="s">
        <v>23</v>
      </c>
    </row>
    <row r="381" spans="1:11" x14ac:dyDescent="0.25">
      <c r="A381">
        <v>380</v>
      </c>
      <c r="B381" t="s">
        <v>63</v>
      </c>
      <c r="C381" t="s">
        <v>46</v>
      </c>
      <c r="D381" t="s">
        <v>30</v>
      </c>
      <c r="E381" t="s">
        <v>31</v>
      </c>
      <c r="F381" s="1">
        <v>46038</v>
      </c>
      <c r="H381">
        <v>20.100000000000001</v>
      </c>
      <c r="I381" t="b">
        <v>0</v>
      </c>
      <c r="K381" t="s">
        <v>18</v>
      </c>
    </row>
    <row r="382" spans="1:11" x14ac:dyDescent="0.25">
      <c r="A382">
        <v>381</v>
      </c>
      <c r="B382" t="s">
        <v>63</v>
      </c>
      <c r="C382" t="s">
        <v>46</v>
      </c>
      <c r="D382" t="s">
        <v>39</v>
      </c>
      <c r="E382" t="s">
        <v>25</v>
      </c>
      <c r="F382" s="1">
        <v>46086</v>
      </c>
      <c r="G382" s="1">
        <v>46101</v>
      </c>
      <c r="H382">
        <v>35.9</v>
      </c>
      <c r="I382" t="b">
        <v>1</v>
      </c>
      <c r="J382">
        <v>65.7</v>
      </c>
      <c r="K382" t="s">
        <v>23</v>
      </c>
    </row>
    <row r="383" spans="1:11" x14ac:dyDescent="0.25">
      <c r="A383">
        <v>382</v>
      </c>
      <c r="B383" t="s">
        <v>63</v>
      </c>
      <c r="C383" t="s">
        <v>46</v>
      </c>
      <c r="D383" t="s">
        <v>34</v>
      </c>
      <c r="E383" t="s">
        <v>14</v>
      </c>
      <c r="F383" s="1">
        <v>45726</v>
      </c>
      <c r="G383" s="1">
        <v>45738</v>
      </c>
      <c r="H383">
        <v>14.3</v>
      </c>
      <c r="I383" t="b">
        <v>0</v>
      </c>
      <c r="J383">
        <v>77.599999999999994</v>
      </c>
      <c r="K383" t="s">
        <v>23</v>
      </c>
    </row>
    <row r="384" spans="1:11" x14ac:dyDescent="0.25">
      <c r="A384">
        <v>383</v>
      </c>
      <c r="B384" t="s">
        <v>63</v>
      </c>
      <c r="C384" t="s">
        <v>46</v>
      </c>
      <c r="D384" t="s">
        <v>13</v>
      </c>
      <c r="E384" t="s">
        <v>14</v>
      </c>
      <c r="F384" s="1">
        <v>45844</v>
      </c>
      <c r="G384" s="1">
        <v>45870</v>
      </c>
      <c r="H384">
        <v>5.2</v>
      </c>
      <c r="I384" t="b">
        <v>1</v>
      </c>
      <c r="J384">
        <v>74.900000000000006</v>
      </c>
      <c r="K384" t="s">
        <v>23</v>
      </c>
    </row>
    <row r="385" spans="1:11" x14ac:dyDescent="0.25">
      <c r="A385">
        <v>384</v>
      </c>
      <c r="B385" t="s">
        <v>63</v>
      </c>
      <c r="C385" t="s">
        <v>46</v>
      </c>
      <c r="D385" t="s">
        <v>27</v>
      </c>
      <c r="E385" t="s">
        <v>25</v>
      </c>
      <c r="F385" s="1">
        <v>45951</v>
      </c>
      <c r="G385" s="1">
        <v>45986</v>
      </c>
      <c r="H385">
        <v>12.9</v>
      </c>
      <c r="I385" t="b">
        <v>1</v>
      </c>
      <c r="J385">
        <v>75.8</v>
      </c>
      <c r="K385" t="s">
        <v>23</v>
      </c>
    </row>
    <row r="386" spans="1:11" x14ac:dyDescent="0.25">
      <c r="A386">
        <v>385</v>
      </c>
      <c r="B386" t="s">
        <v>63</v>
      </c>
      <c r="C386" t="s">
        <v>46</v>
      </c>
      <c r="D386" t="s">
        <v>40</v>
      </c>
      <c r="E386" t="s">
        <v>31</v>
      </c>
      <c r="F386" s="1">
        <v>46022</v>
      </c>
      <c r="G386" s="1">
        <v>46027</v>
      </c>
      <c r="H386">
        <v>25.4</v>
      </c>
      <c r="I386" t="b">
        <v>0</v>
      </c>
      <c r="J386">
        <v>80.599999999999994</v>
      </c>
      <c r="K386" t="s">
        <v>23</v>
      </c>
    </row>
    <row r="387" spans="1:11" x14ac:dyDescent="0.25">
      <c r="A387">
        <v>386</v>
      </c>
      <c r="B387" t="s">
        <v>63</v>
      </c>
      <c r="C387" t="s">
        <v>46</v>
      </c>
      <c r="D387" t="s">
        <v>38</v>
      </c>
      <c r="E387" t="s">
        <v>22</v>
      </c>
      <c r="F387" s="1">
        <v>45813</v>
      </c>
      <c r="G387" s="1">
        <v>45852</v>
      </c>
      <c r="H387">
        <v>32.200000000000003</v>
      </c>
      <c r="I387" t="b">
        <v>1</v>
      </c>
      <c r="J387">
        <v>60.9</v>
      </c>
      <c r="K387" t="s">
        <v>23</v>
      </c>
    </row>
    <row r="388" spans="1:11" x14ac:dyDescent="0.25">
      <c r="A388">
        <v>387</v>
      </c>
      <c r="B388" t="s">
        <v>63</v>
      </c>
      <c r="C388" t="s">
        <v>46</v>
      </c>
      <c r="D388" t="s">
        <v>39</v>
      </c>
      <c r="E388" t="s">
        <v>25</v>
      </c>
      <c r="F388" s="1">
        <v>45928</v>
      </c>
      <c r="G388" s="1">
        <v>45942</v>
      </c>
      <c r="H388">
        <v>32.4</v>
      </c>
      <c r="I388" t="b">
        <v>1</v>
      </c>
      <c r="J388">
        <v>97.2</v>
      </c>
      <c r="K388" t="s">
        <v>23</v>
      </c>
    </row>
    <row r="389" spans="1:11" x14ac:dyDescent="0.25">
      <c r="A389">
        <v>388</v>
      </c>
      <c r="B389" t="s">
        <v>64</v>
      </c>
      <c r="C389" t="s">
        <v>49</v>
      </c>
      <c r="D389" t="s">
        <v>26</v>
      </c>
      <c r="E389" t="s">
        <v>17</v>
      </c>
      <c r="F389" s="1">
        <v>45989</v>
      </c>
      <c r="G389" s="1">
        <v>45995</v>
      </c>
      <c r="H389">
        <v>23.7</v>
      </c>
      <c r="I389" t="b">
        <v>0</v>
      </c>
      <c r="J389">
        <v>73.5</v>
      </c>
      <c r="K389" t="s">
        <v>23</v>
      </c>
    </row>
    <row r="390" spans="1:11" x14ac:dyDescent="0.25">
      <c r="A390">
        <v>389</v>
      </c>
      <c r="B390" t="s">
        <v>64</v>
      </c>
      <c r="C390" t="s">
        <v>49</v>
      </c>
      <c r="D390" t="s">
        <v>40</v>
      </c>
      <c r="E390" t="s">
        <v>31</v>
      </c>
      <c r="F390" s="1">
        <v>45743</v>
      </c>
      <c r="G390" s="1">
        <v>45748</v>
      </c>
      <c r="H390">
        <v>34.299999999999997</v>
      </c>
      <c r="I390" t="b">
        <v>1</v>
      </c>
      <c r="J390">
        <v>79.2</v>
      </c>
      <c r="K390" t="s">
        <v>23</v>
      </c>
    </row>
    <row r="391" spans="1:11" x14ac:dyDescent="0.25">
      <c r="A391">
        <v>390</v>
      </c>
      <c r="B391" t="s">
        <v>64</v>
      </c>
      <c r="C391" t="s">
        <v>49</v>
      </c>
      <c r="D391" t="s">
        <v>40</v>
      </c>
      <c r="E391" t="s">
        <v>31</v>
      </c>
      <c r="F391" s="1">
        <v>45788</v>
      </c>
      <c r="G391" s="1">
        <v>45811</v>
      </c>
      <c r="H391">
        <v>5.9</v>
      </c>
      <c r="I391" t="b">
        <v>1</v>
      </c>
      <c r="J391">
        <v>70.599999999999994</v>
      </c>
      <c r="K391" t="s">
        <v>23</v>
      </c>
    </row>
    <row r="392" spans="1:11" x14ac:dyDescent="0.25">
      <c r="A392">
        <v>391</v>
      </c>
      <c r="B392" t="s">
        <v>64</v>
      </c>
      <c r="C392" t="s">
        <v>49</v>
      </c>
      <c r="D392" t="s">
        <v>13</v>
      </c>
      <c r="E392" t="s">
        <v>14</v>
      </c>
      <c r="F392" s="1">
        <v>45678</v>
      </c>
      <c r="G392" s="1">
        <v>45686</v>
      </c>
      <c r="H392">
        <v>37.5</v>
      </c>
      <c r="I392" t="b">
        <v>1</v>
      </c>
      <c r="J392">
        <v>98.8</v>
      </c>
      <c r="K392" t="s">
        <v>23</v>
      </c>
    </row>
    <row r="393" spans="1:11" x14ac:dyDescent="0.25">
      <c r="A393">
        <v>392</v>
      </c>
      <c r="B393" t="s">
        <v>64</v>
      </c>
      <c r="C393" t="s">
        <v>49</v>
      </c>
      <c r="D393" t="s">
        <v>43</v>
      </c>
      <c r="E393" t="s">
        <v>17</v>
      </c>
      <c r="F393" s="1">
        <v>46054</v>
      </c>
      <c r="H393">
        <v>20.100000000000001</v>
      </c>
      <c r="I393" t="b">
        <v>0</v>
      </c>
      <c r="K393" t="s">
        <v>18</v>
      </c>
    </row>
    <row r="394" spans="1:11" x14ac:dyDescent="0.25">
      <c r="A394">
        <v>393</v>
      </c>
      <c r="B394" t="s">
        <v>64</v>
      </c>
      <c r="C394" t="s">
        <v>49</v>
      </c>
      <c r="D394" t="s">
        <v>44</v>
      </c>
      <c r="E394" t="s">
        <v>31</v>
      </c>
      <c r="F394" s="1">
        <v>45844</v>
      </c>
      <c r="G394" s="1">
        <v>45883</v>
      </c>
      <c r="H394">
        <v>23.1</v>
      </c>
      <c r="I394" t="b">
        <v>1</v>
      </c>
      <c r="J394">
        <v>67.5</v>
      </c>
      <c r="K394" t="s">
        <v>23</v>
      </c>
    </row>
    <row r="395" spans="1:11" x14ac:dyDescent="0.25">
      <c r="A395">
        <v>394</v>
      </c>
      <c r="B395" t="s">
        <v>64</v>
      </c>
      <c r="C395" t="s">
        <v>49</v>
      </c>
      <c r="D395" t="s">
        <v>34</v>
      </c>
      <c r="E395" t="s">
        <v>14</v>
      </c>
      <c r="F395" s="1">
        <v>45747</v>
      </c>
      <c r="G395" s="1">
        <v>45753</v>
      </c>
      <c r="H395">
        <v>11.2</v>
      </c>
      <c r="I395" t="b">
        <v>1</v>
      </c>
      <c r="J395">
        <v>67.3</v>
      </c>
      <c r="K395" t="s">
        <v>23</v>
      </c>
    </row>
    <row r="396" spans="1:11" x14ac:dyDescent="0.25">
      <c r="A396">
        <v>395</v>
      </c>
      <c r="B396" t="s">
        <v>64</v>
      </c>
      <c r="C396" t="s">
        <v>49</v>
      </c>
      <c r="D396" t="s">
        <v>24</v>
      </c>
      <c r="E396" t="s">
        <v>25</v>
      </c>
      <c r="F396" s="1">
        <v>45825</v>
      </c>
      <c r="G396" s="1">
        <v>45840</v>
      </c>
      <c r="H396">
        <v>16.600000000000001</v>
      </c>
      <c r="I396" t="b">
        <v>1</v>
      </c>
      <c r="J396">
        <v>78.7</v>
      </c>
      <c r="K396" t="s">
        <v>23</v>
      </c>
    </row>
    <row r="397" spans="1:11" x14ac:dyDescent="0.25">
      <c r="A397">
        <v>396</v>
      </c>
      <c r="B397" t="s">
        <v>64</v>
      </c>
      <c r="C397" t="s">
        <v>49</v>
      </c>
      <c r="D397" t="s">
        <v>34</v>
      </c>
      <c r="E397" t="s">
        <v>14</v>
      </c>
      <c r="F397" s="1">
        <v>45703</v>
      </c>
      <c r="H397">
        <v>11.7</v>
      </c>
      <c r="I397" t="b">
        <v>0</v>
      </c>
      <c r="K397" t="s">
        <v>15</v>
      </c>
    </row>
    <row r="398" spans="1:11" x14ac:dyDescent="0.25">
      <c r="A398">
        <v>397</v>
      </c>
      <c r="B398" t="s">
        <v>64</v>
      </c>
      <c r="C398" t="s">
        <v>49</v>
      </c>
      <c r="D398" t="s">
        <v>40</v>
      </c>
      <c r="E398" t="s">
        <v>31</v>
      </c>
      <c r="F398" s="1">
        <v>45851</v>
      </c>
      <c r="G398" s="1">
        <v>45869</v>
      </c>
      <c r="H398">
        <v>21.8</v>
      </c>
      <c r="I398" t="b">
        <v>0</v>
      </c>
      <c r="J398">
        <v>69.5</v>
      </c>
      <c r="K398" t="s">
        <v>23</v>
      </c>
    </row>
    <row r="399" spans="1:11" x14ac:dyDescent="0.25">
      <c r="A399">
        <v>398</v>
      </c>
      <c r="B399" t="s">
        <v>64</v>
      </c>
      <c r="C399" t="s">
        <v>49</v>
      </c>
      <c r="D399" t="s">
        <v>13</v>
      </c>
      <c r="E399" t="s">
        <v>14</v>
      </c>
      <c r="F399" s="1">
        <v>45812</v>
      </c>
      <c r="H399">
        <v>37.700000000000003</v>
      </c>
      <c r="I399" t="b">
        <v>0</v>
      </c>
      <c r="K399" t="s">
        <v>18</v>
      </c>
    </row>
    <row r="400" spans="1:11" x14ac:dyDescent="0.25">
      <c r="A400">
        <v>399</v>
      </c>
      <c r="B400" t="s">
        <v>64</v>
      </c>
      <c r="C400" t="s">
        <v>49</v>
      </c>
      <c r="D400" t="s">
        <v>28</v>
      </c>
      <c r="E400" t="s">
        <v>22</v>
      </c>
      <c r="F400" s="1">
        <v>45725</v>
      </c>
      <c r="H400">
        <v>39.700000000000003</v>
      </c>
      <c r="I400" t="b">
        <v>0</v>
      </c>
      <c r="K400" t="s">
        <v>15</v>
      </c>
    </row>
    <row r="401" spans="1:11" x14ac:dyDescent="0.25">
      <c r="A401">
        <v>400</v>
      </c>
      <c r="B401" t="s">
        <v>64</v>
      </c>
      <c r="C401" t="s">
        <v>49</v>
      </c>
      <c r="D401" t="s">
        <v>27</v>
      </c>
      <c r="E401" t="s">
        <v>25</v>
      </c>
      <c r="F401" s="1">
        <v>45895</v>
      </c>
      <c r="G401" s="1">
        <v>45906</v>
      </c>
      <c r="H401">
        <v>23.2</v>
      </c>
      <c r="I401" t="b">
        <v>0</v>
      </c>
      <c r="J401">
        <v>84.5</v>
      </c>
      <c r="K401" t="s">
        <v>23</v>
      </c>
    </row>
    <row r="402" spans="1:11" x14ac:dyDescent="0.25">
      <c r="A402">
        <v>401</v>
      </c>
      <c r="B402" t="s">
        <v>64</v>
      </c>
      <c r="C402" t="s">
        <v>49</v>
      </c>
      <c r="D402" t="s">
        <v>29</v>
      </c>
      <c r="E402" t="s">
        <v>22</v>
      </c>
      <c r="F402" s="1">
        <v>45691</v>
      </c>
      <c r="G402" s="1">
        <v>45733</v>
      </c>
      <c r="H402">
        <v>5.4</v>
      </c>
      <c r="I402" t="b">
        <v>0</v>
      </c>
      <c r="J402">
        <v>69.599999999999994</v>
      </c>
      <c r="K402" t="s">
        <v>23</v>
      </c>
    </row>
    <row r="403" spans="1:11" x14ac:dyDescent="0.25">
      <c r="A403">
        <v>402</v>
      </c>
      <c r="B403" t="s">
        <v>64</v>
      </c>
      <c r="C403" t="s">
        <v>49</v>
      </c>
      <c r="D403" t="s">
        <v>21</v>
      </c>
      <c r="E403" t="s">
        <v>22</v>
      </c>
      <c r="F403" s="1">
        <v>46029</v>
      </c>
      <c r="G403" s="1">
        <v>46035</v>
      </c>
      <c r="H403">
        <v>10.9</v>
      </c>
      <c r="I403" t="b">
        <v>1</v>
      </c>
      <c r="J403">
        <v>75.400000000000006</v>
      </c>
      <c r="K403" t="s">
        <v>23</v>
      </c>
    </row>
    <row r="404" spans="1:11" x14ac:dyDescent="0.25">
      <c r="A404">
        <v>403</v>
      </c>
      <c r="B404" t="s">
        <v>64</v>
      </c>
      <c r="C404" t="s">
        <v>49</v>
      </c>
      <c r="D404" t="s">
        <v>43</v>
      </c>
      <c r="E404" t="s">
        <v>17</v>
      </c>
      <c r="F404" s="1">
        <v>45811</v>
      </c>
      <c r="G404" s="1">
        <v>45829</v>
      </c>
      <c r="H404">
        <v>4.9000000000000004</v>
      </c>
      <c r="I404" t="b">
        <v>0</v>
      </c>
      <c r="J404">
        <v>90.3</v>
      </c>
      <c r="K404" t="s">
        <v>23</v>
      </c>
    </row>
    <row r="405" spans="1:11" x14ac:dyDescent="0.25">
      <c r="A405">
        <v>404</v>
      </c>
      <c r="B405" t="s">
        <v>64</v>
      </c>
      <c r="C405" t="s">
        <v>49</v>
      </c>
      <c r="D405" t="s">
        <v>39</v>
      </c>
      <c r="E405" t="s">
        <v>25</v>
      </c>
      <c r="F405" s="1">
        <v>45816</v>
      </c>
      <c r="G405" s="1">
        <v>45858</v>
      </c>
      <c r="H405">
        <v>23.1</v>
      </c>
      <c r="I405" t="b">
        <v>1</v>
      </c>
      <c r="J405">
        <v>91</v>
      </c>
      <c r="K405" t="s">
        <v>23</v>
      </c>
    </row>
    <row r="406" spans="1:11" x14ac:dyDescent="0.25">
      <c r="A406">
        <v>405</v>
      </c>
      <c r="B406" t="s">
        <v>64</v>
      </c>
      <c r="C406" t="s">
        <v>49</v>
      </c>
      <c r="D406" t="s">
        <v>40</v>
      </c>
      <c r="E406" t="s">
        <v>31</v>
      </c>
      <c r="F406" s="1">
        <v>45988</v>
      </c>
      <c r="H406">
        <v>19.600000000000001</v>
      </c>
      <c r="I406" t="b">
        <v>0</v>
      </c>
      <c r="K406" t="s">
        <v>18</v>
      </c>
    </row>
    <row r="407" spans="1:11" x14ac:dyDescent="0.25">
      <c r="A407">
        <v>406</v>
      </c>
      <c r="B407" t="s">
        <v>64</v>
      </c>
      <c r="C407" t="s">
        <v>49</v>
      </c>
      <c r="D407" t="s">
        <v>40</v>
      </c>
      <c r="E407" t="s">
        <v>31</v>
      </c>
      <c r="F407" s="1">
        <v>45979</v>
      </c>
      <c r="G407" s="1">
        <v>46016</v>
      </c>
      <c r="H407">
        <v>37.5</v>
      </c>
      <c r="I407" t="b">
        <v>0</v>
      </c>
      <c r="J407">
        <v>99.8</v>
      </c>
      <c r="K407" t="s">
        <v>23</v>
      </c>
    </row>
    <row r="408" spans="1:11" x14ac:dyDescent="0.25">
      <c r="A408">
        <v>407</v>
      </c>
      <c r="B408" t="s">
        <v>64</v>
      </c>
      <c r="C408" t="s">
        <v>49</v>
      </c>
      <c r="D408" t="s">
        <v>39</v>
      </c>
      <c r="E408" t="s">
        <v>25</v>
      </c>
      <c r="F408" s="1">
        <v>45674</v>
      </c>
      <c r="H408">
        <v>5.2</v>
      </c>
      <c r="I408" t="b">
        <v>0</v>
      </c>
      <c r="K408" t="s">
        <v>15</v>
      </c>
    </row>
    <row r="409" spans="1:11" x14ac:dyDescent="0.25">
      <c r="A409">
        <v>408</v>
      </c>
      <c r="B409" t="s">
        <v>64</v>
      </c>
      <c r="C409" t="s">
        <v>49</v>
      </c>
      <c r="D409" t="s">
        <v>19</v>
      </c>
      <c r="E409" t="s">
        <v>14</v>
      </c>
      <c r="F409" s="1">
        <v>45990</v>
      </c>
      <c r="H409">
        <v>34.799999999999997</v>
      </c>
      <c r="I409" t="b">
        <v>0</v>
      </c>
      <c r="K409" t="s">
        <v>15</v>
      </c>
    </row>
    <row r="410" spans="1:11" x14ac:dyDescent="0.25">
      <c r="A410">
        <v>409</v>
      </c>
      <c r="B410" t="s">
        <v>64</v>
      </c>
      <c r="C410" t="s">
        <v>49</v>
      </c>
      <c r="D410" t="s">
        <v>29</v>
      </c>
      <c r="E410" t="s">
        <v>22</v>
      </c>
      <c r="F410" s="1">
        <v>45996</v>
      </c>
      <c r="G410" s="1">
        <v>46012</v>
      </c>
      <c r="H410">
        <v>5.5</v>
      </c>
      <c r="I410" t="b">
        <v>1</v>
      </c>
      <c r="J410">
        <v>70.599999999999994</v>
      </c>
      <c r="K410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PivotData</vt:lpstr>
      <vt:lpstr>Dashboard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Rengifo</dc:creator>
  <cp:lastModifiedBy>Carlos Rengifo</cp:lastModifiedBy>
  <dcterms:created xsi:type="dcterms:W3CDTF">2026-06-09T02:52:33Z</dcterms:created>
  <dcterms:modified xsi:type="dcterms:W3CDTF">2026-06-09T02:56:08Z</dcterms:modified>
</cp:coreProperties>
</file>